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Software\incremento 2\documentos\"/>
    </mc:Choice>
  </mc:AlternateContent>
  <xr:revisionPtr revIDLastSave="0" documentId="13_ncr:1_{5E612344-96C0-4323-A10B-9201DA63A7D5}" xr6:coauthVersionLast="47" xr6:coauthVersionMax="47" xr10:uidLastSave="{00000000-0000-0000-0000-000000000000}"/>
  <bookViews>
    <workbookView xWindow="-120" yWindow="-120" windowWidth="29040" windowHeight="15720" firstSheet="1" activeTab="3" xr2:uid="{5D6C9C1C-24D3-42E3-8781-AEF4A9F5AB41}"/>
  </bookViews>
  <sheets>
    <sheet name="Product backlog" sheetId="1" r:id="rId1"/>
    <sheet name="Planificacion del sprint" sheetId="2" r:id="rId2"/>
    <sheet name="HH estimadas vs HH reales" sheetId="3" r:id="rId3"/>
    <sheet name="Chart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E4" i="4"/>
  <c r="D4" i="4"/>
  <c r="F3" i="4"/>
  <c r="E3" i="4"/>
  <c r="D3" i="4"/>
  <c r="F2" i="4"/>
  <c r="E2" i="4"/>
  <c r="D2" i="4"/>
</calcChain>
</file>

<file path=xl/sharedStrings.xml><?xml version="1.0" encoding="utf-8"?>
<sst xmlns="http://schemas.openxmlformats.org/spreadsheetml/2006/main" count="89" uniqueCount="58">
  <si>
    <t>Elemento</t>
  </si>
  <si>
    <t>Descripción</t>
  </si>
  <si>
    <t>Casos abordados</t>
  </si>
  <si>
    <t>Cantidad de casos de uso desarrollados</t>
  </si>
  <si>
    <t>Porcentaje parcial (sprint)</t>
  </si>
  <si>
    <t>Porcentaje acumulado</t>
  </si>
  <si>
    <t>Incremento N°</t>
  </si>
  <si>
    <t>CU14- CU57- CU61</t>
  </si>
  <si>
    <t xml:space="preserve"> 4.7% (3 de 63)</t>
  </si>
  <si>
    <t>100% (1er, 2do, 3er y 4to incremento)</t>
  </si>
  <si>
    <t>PILA DEL PRODUCTO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</si>
  <si>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</si>
  <si>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</si>
  <si>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</si>
  <si>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</si>
  <si>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</si>
  <si>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</si>
  <si>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</si>
  <si>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estimadas</t>
  </si>
  <si>
    <t>HH efectivas</t>
  </si>
  <si>
    <t>Juan Pablo Olmedo</t>
  </si>
  <si>
    <t>Tomas Burgos Bottari</t>
  </si>
  <si>
    <t>FECHA REAL</t>
  </si>
  <si>
    <t>FECHA ESTIMADA</t>
  </si>
  <si>
    <t>Filtrando pedidos pendientes por fecha</t>
  </si>
  <si>
    <t>Buscando y filtrando en dashboard</t>
  </si>
  <si>
    <t>Generando código QR</t>
  </si>
  <si>
    <t>Cumplir con CU 14</t>
  </si>
  <si>
    <t>Cumplir con CU 57</t>
  </si>
  <si>
    <t>Cumplir con CU 61</t>
  </si>
  <si>
    <t>En proceso</t>
  </si>
  <si>
    <t>Elaborar informe final del incremento 4</t>
  </si>
  <si>
    <t>Sebastián Valdovinos</t>
  </si>
  <si>
    <t>Diseñar diagramas de secuencia</t>
  </si>
  <si>
    <t>Anakin Benavides</t>
  </si>
  <si>
    <t>Diseñar diagramas de despliegue</t>
  </si>
  <si>
    <t>Diseñar diagramas de componentes</t>
  </si>
  <si>
    <t>Diseñar árbol de navegación</t>
  </si>
  <si>
    <t>Diseñar base de datos</t>
  </si>
  <si>
    <t>Diseñar diagrama de base de datos</t>
  </si>
  <si>
    <t>Diseñar diagrama de clases</t>
  </si>
  <si>
    <t>Preparar Backlog y sprint planning</t>
  </si>
  <si>
    <t>Documentar retrospectivas y actas de reunión</t>
  </si>
  <si>
    <t>Diego Herrera Molina</t>
  </si>
  <si>
    <t>Cristóbal Valenzuela</t>
  </si>
  <si>
    <t>Documentacion y soporte del proyecto</t>
  </si>
  <si>
    <t>CU14</t>
  </si>
  <si>
    <t>CU57</t>
  </si>
  <si>
    <t>CU61</t>
  </si>
  <si>
    <t>HH reales</t>
  </si>
  <si>
    <t>HH estimadas acumuladas</t>
  </si>
  <si>
    <t>HH reales acumuladas</t>
  </si>
  <si>
    <t>Dia</t>
  </si>
  <si>
    <t>HH estimadas totales</t>
  </si>
  <si>
    <t>HH completas</t>
  </si>
  <si>
    <t>Horas restantes</t>
  </si>
  <si>
    <t>Ideal Burn down</t>
  </si>
  <si>
    <t>Ideal Burn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</si>
</sst>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/>
    <xf numFmtId="0" fontId="0" fillId="0" borderId="2" xfId="0" applyFill="1" applyBorder="1"/>
    <xf numFmtId="14" fontId="0" fillId="0" borderId="2" xfId="0" applyNumberFormat="1" applyFill="1" applyBorder="1"/>
    <xf numFmtId="1" fontId="0" fillId="0" borderId="2" xfId="0" applyNumberFormat="1" applyFill="1" applyBorder="1"/>
    <xf numFmtId="1" fontId="0" fillId="0" borderId="2" xfId="0" quotePrefix="1" applyNumberFormat="1" applyFill="1" applyBorder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HH</a:t>
            </a:r>
            <a:r>
              <a:rPr lang="es-ES" baseline="0"/>
              <a:t> estimadas V/S HH reales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'HH estimadas vs HH reales'!$B$1</c:f>
              <c:strCache>
                <c:ptCount val="1"/>
                <c:pt idx="0">
                  <c:v>HH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'[1]HH estimadas vs HH reales'!$A$2:$A$50</c:f>
              <c:strCache>
                <c:ptCount val="49"/>
                <c:pt idx="0">
                  <c:v>CU15</c:v>
                </c:pt>
                <c:pt idx="1">
                  <c:v>CU16</c:v>
                </c:pt>
                <c:pt idx="2">
                  <c:v>CU17</c:v>
                </c:pt>
                <c:pt idx="3">
                  <c:v>CU18</c:v>
                </c:pt>
                <c:pt idx="4">
                  <c:v>CU19</c:v>
                </c:pt>
                <c:pt idx="5">
                  <c:v>CU20</c:v>
                </c:pt>
                <c:pt idx="6">
                  <c:v>CU21</c:v>
                </c:pt>
                <c:pt idx="7">
                  <c:v>CU22</c:v>
                </c:pt>
                <c:pt idx="8">
                  <c:v>CU23</c:v>
                </c:pt>
                <c:pt idx="9">
                  <c:v>CU24</c:v>
                </c:pt>
                <c:pt idx="10">
                  <c:v>CU27</c:v>
                </c:pt>
                <c:pt idx="11">
                  <c:v>CU28</c:v>
                </c:pt>
                <c:pt idx="12">
                  <c:v>CU29</c:v>
                </c:pt>
                <c:pt idx="13">
                  <c:v>CU30</c:v>
                </c:pt>
                <c:pt idx="14">
                  <c:v>CU32</c:v>
                </c:pt>
                <c:pt idx="15">
                  <c:v>CU33</c:v>
                </c:pt>
                <c:pt idx="16">
                  <c:v>CU34</c:v>
                </c:pt>
                <c:pt idx="17">
                  <c:v>CU35</c:v>
                </c:pt>
                <c:pt idx="18">
                  <c:v>CU36</c:v>
                </c:pt>
                <c:pt idx="19">
                  <c:v>CU38</c:v>
                </c:pt>
                <c:pt idx="20">
                  <c:v>CU39</c:v>
                </c:pt>
                <c:pt idx="21">
                  <c:v>CU41</c:v>
                </c:pt>
                <c:pt idx="22">
                  <c:v>CU42</c:v>
                </c:pt>
                <c:pt idx="23">
                  <c:v>CU43</c:v>
                </c:pt>
                <c:pt idx="24">
                  <c:v>CU44</c:v>
                </c:pt>
                <c:pt idx="25">
                  <c:v>CU46</c:v>
                </c:pt>
                <c:pt idx="26">
                  <c:v>CU47</c:v>
                </c:pt>
                <c:pt idx="27">
                  <c:v>CU48</c:v>
                </c:pt>
                <c:pt idx="28">
                  <c:v>CU49</c:v>
                </c:pt>
                <c:pt idx="29">
                  <c:v>CU50</c:v>
                </c:pt>
                <c:pt idx="30">
                  <c:v>CU51</c:v>
                </c:pt>
                <c:pt idx="31">
                  <c:v>CU52</c:v>
                </c:pt>
                <c:pt idx="32">
                  <c:v>CU53</c:v>
                </c:pt>
                <c:pt idx="33">
                  <c:v>CU54</c:v>
                </c:pt>
                <c:pt idx="34">
                  <c:v>CU56</c:v>
                </c:pt>
                <c:pt idx="35">
                  <c:v>CU58</c:v>
                </c:pt>
                <c:pt idx="36">
                  <c:v>CU62</c:v>
                </c:pt>
                <c:pt idx="37">
                  <c:v>CU63</c:v>
                </c:pt>
                <c:pt idx="38">
                  <c:v>Informe</c:v>
                </c:pt>
                <c:pt idx="39">
                  <c:v>Informe</c:v>
                </c:pt>
                <c:pt idx="40">
                  <c:v>Informe</c:v>
                </c:pt>
                <c:pt idx="41">
                  <c:v>Informe</c:v>
                </c:pt>
                <c:pt idx="42">
                  <c:v>Informe</c:v>
                </c:pt>
                <c:pt idx="43">
                  <c:v>Informe</c:v>
                </c:pt>
                <c:pt idx="44">
                  <c:v>Informe</c:v>
                </c:pt>
                <c:pt idx="45">
                  <c:v>Informe</c:v>
                </c:pt>
                <c:pt idx="46">
                  <c:v>Informe</c:v>
                </c:pt>
                <c:pt idx="47">
                  <c:v>Informe</c:v>
                </c:pt>
                <c:pt idx="48">
                  <c:v>Informe</c:v>
                </c:pt>
              </c:strCache>
            </c:strRef>
          </c:cat>
          <c:val>
            <c:numRef>
              <c:f>'HH estimadas vs HH reales'!$B$2:$B$4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7-4127-83F1-F7E85C10C9BA}"/>
            </c:ext>
          </c:extLst>
        </c:ser>
        <c:ser>
          <c:idx val="1"/>
          <c:order val="1"/>
          <c:tx>
            <c:strRef>
              <c:f>'HH estimadas vs HH reales'!$C$1</c:f>
              <c:strCache>
                <c:ptCount val="1"/>
                <c:pt idx="0">
                  <c:v>HH reales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'[1]HH estimadas vs HH reales'!$A$2:$A$50</c:f>
              <c:strCache>
                <c:ptCount val="49"/>
                <c:pt idx="0">
                  <c:v>CU15</c:v>
                </c:pt>
                <c:pt idx="1">
                  <c:v>CU16</c:v>
                </c:pt>
                <c:pt idx="2">
                  <c:v>CU17</c:v>
                </c:pt>
                <c:pt idx="3">
                  <c:v>CU18</c:v>
                </c:pt>
                <c:pt idx="4">
                  <c:v>CU19</c:v>
                </c:pt>
                <c:pt idx="5">
                  <c:v>CU20</c:v>
                </c:pt>
                <c:pt idx="6">
                  <c:v>CU21</c:v>
                </c:pt>
                <c:pt idx="7">
                  <c:v>CU22</c:v>
                </c:pt>
                <c:pt idx="8">
                  <c:v>CU23</c:v>
                </c:pt>
                <c:pt idx="9">
                  <c:v>CU24</c:v>
                </c:pt>
                <c:pt idx="10">
                  <c:v>CU27</c:v>
                </c:pt>
                <c:pt idx="11">
                  <c:v>CU28</c:v>
                </c:pt>
                <c:pt idx="12">
                  <c:v>CU29</c:v>
                </c:pt>
                <c:pt idx="13">
                  <c:v>CU30</c:v>
                </c:pt>
                <c:pt idx="14">
                  <c:v>CU32</c:v>
                </c:pt>
                <c:pt idx="15">
                  <c:v>CU33</c:v>
                </c:pt>
                <c:pt idx="16">
                  <c:v>CU34</c:v>
                </c:pt>
                <c:pt idx="17">
                  <c:v>CU35</c:v>
                </c:pt>
                <c:pt idx="18">
                  <c:v>CU36</c:v>
                </c:pt>
                <c:pt idx="19">
                  <c:v>CU38</c:v>
                </c:pt>
                <c:pt idx="20">
                  <c:v>CU39</c:v>
                </c:pt>
                <c:pt idx="21">
                  <c:v>CU41</c:v>
                </c:pt>
                <c:pt idx="22">
                  <c:v>CU42</c:v>
                </c:pt>
                <c:pt idx="23">
                  <c:v>CU43</c:v>
                </c:pt>
                <c:pt idx="24">
                  <c:v>CU44</c:v>
                </c:pt>
                <c:pt idx="25">
                  <c:v>CU46</c:v>
                </c:pt>
                <c:pt idx="26">
                  <c:v>CU47</c:v>
                </c:pt>
                <c:pt idx="27">
                  <c:v>CU48</c:v>
                </c:pt>
                <c:pt idx="28">
                  <c:v>CU49</c:v>
                </c:pt>
                <c:pt idx="29">
                  <c:v>CU50</c:v>
                </c:pt>
                <c:pt idx="30">
                  <c:v>CU51</c:v>
                </c:pt>
                <c:pt idx="31">
                  <c:v>CU52</c:v>
                </c:pt>
                <c:pt idx="32">
                  <c:v>CU53</c:v>
                </c:pt>
                <c:pt idx="33">
                  <c:v>CU54</c:v>
                </c:pt>
                <c:pt idx="34">
                  <c:v>CU56</c:v>
                </c:pt>
                <c:pt idx="35">
                  <c:v>CU58</c:v>
                </c:pt>
                <c:pt idx="36">
                  <c:v>CU62</c:v>
                </c:pt>
                <c:pt idx="37">
                  <c:v>CU63</c:v>
                </c:pt>
                <c:pt idx="38">
                  <c:v>Informe</c:v>
                </c:pt>
                <c:pt idx="39">
                  <c:v>Informe</c:v>
                </c:pt>
                <c:pt idx="40">
                  <c:v>Informe</c:v>
                </c:pt>
                <c:pt idx="41">
                  <c:v>Informe</c:v>
                </c:pt>
                <c:pt idx="42">
                  <c:v>Informe</c:v>
                </c:pt>
                <c:pt idx="43">
                  <c:v>Informe</c:v>
                </c:pt>
                <c:pt idx="44">
                  <c:v>Informe</c:v>
                </c:pt>
                <c:pt idx="45">
                  <c:v>Informe</c:v>
                </c:pt>
                <c:pt idx="46">
                  <c:v>Informe</c:v>
                </c:pt>
                <c:pt idx="47">
                  <c:v>Informe</c:v>
                </c:pt>
                <c:pt idx="48">
                  <c:v>Informe</c:v>
                </c:pt>
              </c:strCache>
            </c:strRef>
          </c:cat>
          <c:val>
            <c:numRef>
              <c:f>'HH estimadas vs HH reales'!$C$2:$C$4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7-4127-83F1-F7E85C10C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13424"/>
        <c:axId val="762730224"/>
      </c:lineChart>
      <c:catAx>
        <c:axId val="7627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0224"/>
        <c:crosses val="autoZero"/>
        <c:auto val="1"/>
        <c:lblAlgn val="ctr"/>
        <c:lblOffset val="100"/>
        <c:noMultiLvlLbl val="0"/>
      </c:catAx>
      <c:valAx>
        <c:axId val="7627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HH estimadas V/S</a:t>
            </a:r>
            <a:r>
              <a:rPr lang="es-ES" baseline="0"/>
              <a:t> HH reales (acumuladas)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'HH estimadas vs HH reales'!$D$1</c:f>
              <c:strCache>
                <c:ptCount val="1"/>
                <c:pt idx="0">
                  <c:v>HH estimadas acumuladas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'HH estimadas vs HH reales'!$D$2:$D$4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8-48C0-9DFA-11335C6DE41B}"/>
            </c:ext>
          </c:extLst>
        </c:ser>
        <c:ser>
          <c:idx val="1"/>
          <c:order val="1"/>
          <c:tx>
            <c:strRef>
              <c:f>'HH estimadas vs HH reales'!$E$1</c:f>
              <c:strCache>
                <c:ptCount val="1"/>
                <c:pt idx="0">
                  <c:v>HH reales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'HH estimadas vs HH reales'!$E$2:$E$4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8-48C0-9DFA-11335C6DE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2738384"/>
        <c:axId val="762736944"/>
      </c:lineChart>
      <c:catAx>
        <c:axId val="76273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6944"/>
        <c:crosses val="autoZero"/>
        <c:auto val="1"/>
        <c:lblAlgn val="ctr"/>
        <c:lblOffset val="100"/>
        <c:noMultiLvlLbl val="0"/>
      </c:catAx>
      <c:valAx>
        <c:axId val="7627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273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</a:t>
            </a:r>
            <a:r>
              <a:rPr lang="es-ES" baseline="0"/>
              <a:t> Burn Down - Incremento 4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Charts!$D$1</c:f>
              <c:strCache>
                <c:ptCount val="1"/>
                <c:pt idx="0">
                  <c:v>Horas restantes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'[1]Burn Charts'!$A$2:$A$15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Charts!$D$2:$D$4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4-49CF-A5B4-87376AFB6187}"/>
            </c:ext>
          </c:extLst>
        </c:ser>
        <c:ser>
          <c:idx val="1"/>
          <c:order val="1"/>
          <c:tx>
            <c:strRef>
              <c:f>Charts!$E$1</c:f>
              <c:strCache>
                <c:ptCount val="1"/>
                <c:pt idx="0">
                  <c:v>Ideal Burn down</c:v>
                </c:pt>
              </c:strCache>
            </c:strRef>
          </c:tx>
          <c:spPr>
            <a:ln w="28575" cap="rnd">
              <a:solidFill>
                <a:schemeClr val="bg2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65000"/>
                </a:schemeClr>
              </a:solidFill>
              <a:ln w="9525">
                <a:solidFill>
                  <a:schemeClr val="bg2">
                    <a:lumMod val="65000"/>
                  </a:schemeClr>
                </a:solidFill>
              </a:ln>
              <a:effectLst/>
            </c:spPr>
          </c:marker>
          <c:cat>
            <c:numRef>
              <c:f>'[1]Burn Charts'!$A$2:$A$15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Charts!$E$2:$E$4</c:f>
              <c:numCache>
                <c:formatCode>General</c:formatCode>
                <c:ptCount val="3"/>
                <c:pt idx="0">
                  <c:v>7</c:v>
                </c:pt>
                <c:pt idx="1">
                  <c:v>6.5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4-49CF-A5B4-87376AFB6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788832"/>
        <c:axId val="776791232"/>
      </c:lineChart>
      <c:catAx>
        <c:axId val="77678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Días</a:t>
                </a:r>
                <a:r>
                  <a:rPr lang="es-ES" baseline="0"/>
                  <a:t> del Sprint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791232"/>
        <c:crosses val="autoZero"/>
        <c:auto val="1"/>
        <c:lblAlgn val="ctr"/>
        <c:lblOffset val="100"/>
        <c:noMultiLvlLbl val="0"/>
      </c:catAx>
      <c:valAx>
        <c:axId val="7767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Horas</a:t>
                </a:r>
                <a:r>
                  <a:rPr lang="es-ES" baseline="0"/>
                  <a:t> restantes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7678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Gráfico Burn Up- Incremento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HH completas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'[1]Burn Charts'!$A$2:$A$15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Charts!$C$2:$C$4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4-46DC-999F-13062B4C98A6}"/>
            </c:ext>
          </c:extLst>
        </c:ser>
        <c:ser>
          <c:idx val="1"/>
          <c:order val="1"/>
          <c:tx>
            <c:strRef>
              <c:f>Charts!$F$1</c:f>
              <c:strCache>
                <c:ptCount val="1"/>
                <c:pt idx="0">
                  <c:v>Ideal Burn up</c:v>
                </c:pt>
              </c:strCache>
            </c:strRef>
          </c:tx>
          <c:spPr>
            <a:ln w="25400" cap="rnd">
              <a:solidFill>
                <a:schemeClr val="bg2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65000"/>
                </a:schemeClr>
              </a:solidFill>
              <a:ln w="9525">
                <a:solidFill>
                  <a:schemeClr val="bg2">
                    <a:lumMod val="65000"/>
                  </a:schemeClr>
                </a:solidFill>
              </a:ln>
              <a:effectLst/>
            </c:spPr>
          </c:marker>
          <c:cat>
            <c:numRef>
              <c:f>'[1]Burn Charts'!$A$2:$A$15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Charts!$F$2:$F$4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4-46DC-999F-13062B4C9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782576"/>
        <c:axId val="927783056"/>
      </c:lineChart>
      <c:catAx>
        <c:axId val="92778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Días</a:t>
                </a:r>
                <a:r>
                  <a:rPr lang="es-ES" baseline="0"/>
                  <a:t> del Sprint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7783056"/>
        <c:crosses val="autoZero"/>
        <c:auto val="1"/>
        <c:lblAlgn val="ctr"/>
        <c:lblOffset val="100"/>
        <c:noMultiLvlLbl val="0"/>
      </c:catAx>
      <c:valAx>
        <c:axId val="92778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Horas</a:t>
                </a:r>
                <a:r>
                  <a:rPr lang="es-ES" baseline="0"/>
                  <a:t> completadas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77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7</xdr:row>
      <xdr:rowOff>180975</xdr:rowOff>
    </xdr:from>
    <xdr:to>
      <xdr:col>5</xdr:col>
      <xdr:colOff>219075</xdr:colOff>
      <xdr:row>22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0EE3FB-71EA-4BD2-ADC0-F345C4484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352426</xdr:colOff>
      <xdr:row>7</xdr:row>
      <xdr:rowOff>133350</xdr:rowOff>
    </xdr:from>
    <xdr:to>
      <xdr:col>10</xdr:col>
      <xdr:colOff>695326</xdr:colOff>
      <xdr:row>22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71CE06-7140-4BF3-B25F-5C9406DD4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6</xdr:row>
      <xdr:rowOff>133350</xdr:rowOff>
    </xdr:from>
    <xdr:to>
      <xdr:col>5</xdr:col>
      <xdr:colOff>609600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D2384F-300E-4EA6-87E8-5334D29B3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257175</xdr:colOff>
      <xdr:row>21</xdr:row>
      <xdr:rowOff>57150</xdr:rowOff>
    </xdr:from>
    <xdr:to>
      <xdr:col>5</xdr:col>
      <xdr:colOff>609600</xdr:colOff>
      <xdr:row>35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042778-F2B1-4AA2-A244-AFC724D65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dad\Software\incremento%202\documentos\Grupo%2024%20-%20Planificaci&#243;n%20Incremento%202.xlsx" TargetMode="External"/><Relationship Id="rId1" Type="http://schemas.openxmlformats.org/officeDocument/2006/relationships/externalLinkPath" Target="Grupo%2024%20-%20Planificaci&#243;n%20Incremento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ficación"/>
      <sheetName val="HH estimadas vs HH reales"/>
      <sheetName val="Burn Charts"/>
    </sheetNames>
    <sheetDataSet>
      <sheetData sheetId="0"/>
      <sheetData sheetId="1">
        <row r="1">
          <cell r="B1" t="str">
            <v>HH estimadas</v>
          </cell>
          <cell r="C1" t="str">
            <v>HH reales</v>
          </cell>
          <cell r="D1" t="str">
            <v>HH estimadas acumuladas</v>
          </cell>
          <cell r="E1" t="str">
            <v>HH reales acumuladas</v>
          </cell>
        </row>
        <row r="2">
          <cell r="A2" t="str">
            <v>CU15</v>
          </cell>
          <cell r="B2">
            <v>10</v>
          </cell>
          <cell r="C2">
            <v>10</v>
          </cell>
          <cell r="D2">
            <v>10</v>
          </cell>
          <cell r="E2">
            <v>10</v>
          </cell>
        </row>
        <row r="3">
          <cell r="A3" t="str">
            <v>CU16</v>
          </cell>
          <cell r="B3">
            <v>8</v>
          </cell>
          <cell r="C3">
            <v>8</v>
          </cell>
          <cell r="D3">
            <v>18</v>
          </cell>
          <cell r="E3">
            <v>18</v>
          </cell>
        </row>
        <row r="4">
          <cell r="A4" t="str">
            <v>CU17</v>
          </cell>
          <cell r="B4">
            <v>8</v>
          </cell>
          <cell r="C4">
            <v>7</v>
          </cell>
          <cell r="D4">
            <v>26</v>
          </cell>
          <cell r="E4">
            <v>25</v>
          </cell>
        </row>
        <row r="5">
          <cell r="A5" t="str">
            <v>CU18</v>
          </cell>
          <cell r="B5">
            <v>10</v>
          </cell>
          <cell r="C5">
            <v>10</v>
          </cell>
          <cell r="D5">
            <v>36</v>
          </cell>
          <cell r="E5">
            <v>35</v>
          </cell>
        </row>
        <row r="6">
          <cell r="A6" t="str">
            <v>CU19</v>
          </cell>
          <cell r="B6">
            <v>8</v>
          </cell>
          <cell r="C6">
            <v>7</v>
          </cell>
          <cell r="D6">
            <v>44</v>
          </cell>
          <cell r="E6">
            <v>42</v>
          </cell>
        </row>
        <row r="7">
          <cell r="A7" t="str">
            <v>CU20</v>
          </cell>
          <cell r="B7">
            <v>8</v>
          </cell>
          <cell r="C7">
            <v>8</v>
          </cell>
          <cell r="D7">
            <v>52</v>
          </cell>
          <cell r="E7">
            <v>50</v>
          </cell>
        </row>
        <row r="8">
          <cell r="A8" t="str">
            <v>CU21</v>
          </cell>
          <cell r="B8">
            <v>7</v>
          </cell>
          <cell r="C8">
            <v>8</v>
          </cell>
          <cell r="D8">
            <v>59</v>
          </cell>
          <cell r="E8">
            <v>58</v>
          </cell>
        </row>
        <row r="9">
          <cell r="A9" t="str">
            <v>CU22</v>
          </cell>
          <cell r="B9">
            <v>6</v>
          </cell>
          <cell r="C9">
            <v>6</v>
          </cell>
          <cell r="D9">
            <v>65</v>
          </cell>
          <cell r="E9">
            <v>64</v>
          </cell>
        </row>
        <row r="10">
          <cell r="A10" t="str">
            <v>CU23</v>
          </cell>
          <cell r="B10">
            <v>10</v>
          </cell>
          <cell r="C10">
            <v>11</v>
          </cell>
          <cell r="D10">
            <v>75</v>
          </cell>
          <cell r="E10">
            <v>75</v>
          </cell>
        </row>
        <row r="11">
          <cell r="A11" t="str">
            <v>CU24</v>
          </cell>
          <cell r="B11">
            <v>7</v>
          </cell>
          <cell r="C11">
            <v>8</v>
          </cell>
          <cell r="D11">
            <v>82</v>
          </cell>
          <cell r="E11">
            <v>83</v>
          </cell>
        </row>
        <row r="12">
          <cell r="A12" t="str">
            <v>CU27</v>
          </cell>
          <cell r="B12">
            <v>8</v>
          </cell>
          <cell r="C12">
            <v>8</v>
          </cell>
          <cell r="D12">
            <v>90</v>
          </cell>
          <cell r="E12">
            <v>91</v>
          </cell>
        </row>
        <row r="13">
          <cell r="A13" t="str">
            <v>CU28</v>
          </cell>
          <cell r="B13">
            <v>6</v>
          </cell>
          <cell r="C13">
            <v>6</v>
          </cell>
          <cell r="D13">
            <v>96</v>
          </cell>
          <cell r="E13">
            <v>97</v>
          </cell>
        </row>
        <row r="14">
          <cell r="A14" t="str">
            <v>CU29</v>
          </cell>
          <cell r="B14">
            <v>7</v>
          </cell>
          <cell r="C14">
            <v>7</v>
          </cell>
          <cell r="D14">
            <v>103</v>
          </cell>
          <cell r="E14">
            <v>104</v>
          </cell>
        </row>
        <row r="15">
          <cell r="A15" t="str">
            <v>CU30</v>
          </cell>
          <cell r="B15">
            <v>9</v>
          </cell>
          <cell r="C15">
            <v>8</v>
          </cell>
          <cell r="D15">
            <v>112</v>
          </cell>
          <cell r="E15">
            <v>112</v>
          </cell>
        </row>
        <row r="16">
          <cell r="A16" t="str">
            <v>CU32</v>
          </cell>
          <cell r="B16">
            <v>8</v>
          </cell>
          <cell r="C16">
            <v>8</v>
          </cell>
          <cell r="D16">
            <v>120</v>
          </cell>
          <cell r="E16">
            <v>120</v>
          </cell>
        </row>
        <row r="17">
          <cell r="A17" t="str">
            <v>CU33</v>
          </cell>
          <cell r="B17">
            <v>7</v>
          </cell>
          <cell r="C17">
            <v>6</v>
          </cell>
          <cell r="D17">
            <v>127</v>
          </cell>
          <cell r="E17">
            <v>126</v>
          </cell>
        </row>
        <row r="18">
          <cell r="A18" t="str">
            <v>CU34</v>
          </cell>
          <cell r="B18">
            <v>6</v>
          </cell>
          <cell r="C18">
            <v>6</v>
          </cell>
          <cell r="D18">
            <v>133</v>
          </cell>
          <cell r="E18">
            <v>132</v>
          </cell>
        </row>
        <row r="19">
          <cell r="A19" t="str">
            <v>CU35</v>
          </cell>
          <cell r="B19">
            <v>7</v>
          </cell>
          <cell r="C19">
            <v>8</v>
          </cell>
          <cell r="D19">
            <v>140</v>
          </cell>
          <cell r="E19">
            <v>140</v>
          </cell>
        </row>
        <row r="20">
          <cell r="A20" t="str">
            <v>CU36</v>
          </cell>
          <cell r="B20">
            <v>7</v>
          </cell>
          <cell r="C20">
            <v>6</v>
          </cell>
          <cell r="D20">
            <v>147</v>
          </cell>
          <cell r="E20">
            <v>146</v>
          </cell>
        </row>
        <row r="21">
          <cell r="A21" t="str">
            <v>CU38</v>
          </cell>
          <cell r="B21">
            <v>6</v>
          </cell>
          <cell r="C21">
            <v>7</v>
          </cell>
          <cell r="D21">
            <v>153</v>
          </cell>
          <cell r="E21">
            <v>153</v>
          </cell>
        </row>
        <row r="22">
          <cell r="A22" t="str">
            <v>CU39</v>
          </cell>
          <cell r="B22">
            <v>9</v>
          </cell>
          <cell r="C22">
            <v>9</v>
          </cell>
          <cell r="D22">
            <v>162</v>
          </cell>
          <cell r="E22">
            <v>162</v>
          </cell>
        </row>
        <row r="23">
          <cell r="A23" t="str">
            <v>CU41</v>
          </cell>
          <cell r="B23">
            <v>7</v>
          </cell>
          <cell r="C23">
            <v>6</v>
          </cell>
          <cell r="D23">
            <v>169</v>
          </cell>
          <cell r="E23">
            <v>168</v>
          </cell>
        </row>
        <row r="24">
          <cell r="A24" t="str">
            <v>CU42</v>
          </cell>
          <cell r="B24">
            <v>6</v>
          </cell>
          <cell r="C24">
            <v>6</v>
          </cell>
          <cell r="D24">
            <v>175</v>
          </cell>
          <cell r="E24">
            <v>174</v>
          </cell>
        </row>
        <row r="25">
          <cell r="A25" t="str">
            <v>CU43</v>
          </cell>
          <cell r="B25">
            <v>9</v>
          </cell>
          <cell r="C25">
            <v>8</v>
          </cell>
          <cell r="D25">
            <v>184</v>
          </cell>
          <cell r="E25">
            <v>182</v>
          </cell>
        </row>
        <row r="26">
          <cell r="A26" t="str">
            <v>CU44</v>
          </cell>
          <cell r="B26">
            <v>7</v>
          </cell>
          <cell r="C26">
            <v>7</v>
          </cell>
          <cell r="D26">
            <v>191</v>
          </cell>
          <cell r="E26">
            <v>189</v>
          </cell>
        </row>
        <row r="27">
          <cell r="A27" t="str">
            <v>CU46</v>
          </cell>
          <cell r="B27">
            <v>10</v>
          </cell>
          <cell r="C27">
            <v>11</v>
          </cell>
          <cell r="D27">
            <v>201</v>
          </cell>
          <cell r="E27">
            <v>200</v>
          </cell>
        </row>
        <row r="28">
          <cell r="A28" t="str">
            <v>CU47</v>
          </cell>
          <cell r="B28">
            <v>7</v>
          </cell>
          <cell r="C28">
            <v>8</v>
          </cell>
          <cell r="D28">
            <v>208</v>
          </cell>
          <cell r="E28">
            <v>208</v>
          </cell>
        </row>
        <row r="29">
          <cell r="A29" t="str">
            <v>CU48</v>
          </cell>
          <cell r="B29">
            <v>9</v>
          </cell>
          <cell r="C29">
            <v>10</v>
          </cell>
          <cell r="D29">
            <v>217</v>
          </cell>
          <cell r="E29">
            <v>218</v>
          </cell>
        </row>
        <row r="30">
          <cell r="A30" t="str">
            <v>CU49</v>
          </cell>
          <cell r="B30">
            <v>8</v>
          </cell>
          <cell r="C30">
            <v>7</v>
          </cell>
          <cell r="D30">
            <v>225</v>
          </cell>
          <cell r="E30">
            <v>225</v>
          </cell>
        </row>
        <row r="31">
          <cell r="A31" t="str">
            <v>CU50</v>
          </cell>
          <cell r="B31">
            <v>7</v>
          </cell>
          <cell r="C31">
            <v>6</v>
          </cell>
          <cell r="D31">
            <v>232</v>
          </cell>
          <cell r="E31">
            <v>231</v>
          </cell>
        </row>
        <row r="32">
          <cell r="A32" t="str">
            <v>CU51</v>
          </cell>
          <cell r="B32">
            <v>7</v>
          </cell>
          <cell r="C32">
            <v>7</v>
          </cell>
          <cell r="D32">
            <v>239</v>
          </cell>
          <cell r="E32">
            <v>238</v>
          </cell>
        </row>
        <row r="33">
          <cell r="A33" t="str">
            <v>CU52</v>
          </cell>
          <cell r="B33">
            <v>6</v>
          </cell>
          <cell r="C33">
            <v>6</v>
          </cell>
          <cell r="D33">
            <v>245</v>
          </cell>
          <cell r="E33">
            <v>244</v>
          </cell>
        </row>
        <row r="34">
          <cell r="A34" t="str">
            <v>CU53</v>
          </cell>
          <cell r="B34">
            <v>7</v>
          </cell>
          <cell r="C34">
            <v>7</v>
          </cell>
          <cell r="D34">
            <v>252</v>
          </cell>
          <cell r="E34">
            <v>251</v>
          </cell>
        </row>
        <row r="35">
          <cell r="A35" t="str">
            <v>CU54</v>
          </cell>
          <cell r="B35">
            <v>6</v>
          </cell>
          <cell r="C35">
            <v>7</v>
          </cell>
          <cell r="D35">
            <v>258</v>
          </cell>
          <cell r="E35">
            <v>258</v>
          </cell>
        </row>
        <row r="36">
          <cell r="A36" t="str">
            <v>CU56</v>
          </cell>
          <cell r="B36">
            <v>7</v>
          </cell>
          <cell r="C36">
            <v>8</v>
          </cell>
          <cell r="D36">
            <v>265</v>
          </cell>
          <cell r="E36">
            <v>266</v>
          </cell>
        </row>
        <row r="37">
          <cell r="A37" t="str">
            <v>CU58</v>
          </cell>
          <cell r="B37">
            <v>6</v>
          </cell>
          <cell r="C37">
            <v>5</v>
          </cell>
          <cell r="D37">
            <v>271</v>
          </cell>
          <cell r="E37">
            <v>271</v>
          </cell>
        </row>
        <row r="38">
          <cell r="A38" t="str">
            <v>CU62</v>
          </cell>
          <cell r="B38">
            <v>9</v>
          </cell>
          <cell r="C38">
            <v>9</v>
          </cell>
          <cell r="D38">
            <v>280</v>
          </cell>
          <cell r="E38">
            <v>280</v>
          </cell>
        </row>
        <row r="39">
          <cell r="A39" t="str">
            <v>CU63</v>
          </cell>
          <cell r="B39">
            <v>6</v>
          </cell>
          <cell r="C39">
            <v>7</v>
          </cell>
          <cell r="D39">
            <v>286</v>
          </cell>
          <cell r="E39">
            <v>287</v>
          </cell>
        </row>
        <row r="40">
          <cell r="A40" t="str">
            <v>Informe</v>
          </cell>
          <cell r="B40">
            <v>8</v>
          </cell>
          <cell r="C40">
            <v>9</v>
          </cell>
          <cell r="D40">
            <v>294</v>
          </cell>
          <cell r="E40">
            <v>296</v>
          </cell>
        </row>
        <row r="41">
          <cell r="A41" t="str">
            <v>Informe</v>
          </cell>
          <cell r="B41">
            <v>8</v>
          </cell>
          <cell r="C41">
            <v>6</v>
          </cell>
          <cell r="D41">
            <v>302</v>
          </cell>
          <cell r="E41">
            <v>302</v>
          </cell>
        </row>
        <row r="42">
          <cell r="A42" t="str">
            <v>Informe</v>
          </cell>
          <cell r="B42">
            <v>7</v>
          </cell>
          <cell r="C42">
            <v>5</v>
          </cell>
          <cell r="D42">
            <v>309</v>
          </cell>
          <cell r="E42">
            <v>307</v>
          </cell>
        </row>
        <row r="43">
          <cell r="A43" t="str">
            <v>Informe</v>
          </cell>
          <cell r="B43">
            <v>11</v>
          </cell>
          <cell r="C43">
            <v>13</v>
          </cell>
          <cell r="D43">
            <v>320</v>
          </cell>
          <cell r="E43">
            <v>320</v>
          </cell>
        </row>
        <row r="44">
          <cell r="A44" t="str">
            <v>Informe</v>
          </cell>
          <cell r="B44">
            <v>12</v>
          </cell>
          <cell r="C44">
            <v>14</v>
          </cell>
          <cell r="D44">
            <v>332</v>
          </cell>
          <cell r="E44">
            <v>334</v>
          </cell>
        </row>
        <row r="45">
          <cell r="A45" t="str">
            <v>Informe</v>
          </cell>
          <cell r="B45">
            <v>10</v>
          </cell>
          <cell r="C45">
            <v>9</v>
          </cell>
          <cell r="D45">
            <v>342</v>
          </cell>
          <cell r="E45">
            <v>343</v>
          </cell>
        </row>
        <row r="46">
          <cell r="A46" t="str">
            <v>Informe</v>
          </cell>
          <cell r="B46">
            <v>11</v>
          </cell>
          <cell r="C46">
            <v>12</v>
          </cell>
          <cell r="D46">
            <v>353</v>
          </cell>
          <cell r="E46">
            <v>355</v>
          </cell>
        </row>
        <row r="47">
          <cell r="A47" t="str">
            <v>Informe</v>
          </cell>
          <cell r="B47">
            <v>10</v>
          </cell>
          <cell r="C47">
            <v>12</v>
          </cell>
          <cell r="D47">
            <v>363</v>
          </cell>
          <cell r="E47">
            <v>367</v>
          </cell>
        </row>
        <row r="48">
          <cell r="A48" t="str">
            <v>Informe</v>
          </cell>
          <cell r="B48">
            <v>9</v>
          </cell>
          <cell r="C48">
            <v>9</v>
          </cell>
          <cell r="D48">
            <v>372</v>
          </cell>
          <cell r="E48">
            <v>376</v>
          </cell>
        </row>
        <row r="49">
          <cell r="A49" t="str">
            <v>Informe</v>
          </cell>
          <cell r="B49">
            <v>11</v>
          </cell>
          <cell r="C49">
            <v>10</v>
          </cell>
          <cell r="D49">
            <v>383</v>
          </cell>
          <cell r="E49">
            <v>386</v>
          </cell>
        </row>
        <row r="50">
          <cell r="A50" t="str">
            <v>Informe</v>
          </cell>
          <cell r="B50">
            <v>5</v>
          </cell>
          <cell r="C50">
            <v>5</v>
          </cell>
          <cell r="D50">
            <v>388</v>
          </cell>
          <cell r="E50">
            <v>391</v>
          </cell>
        </row>
      </sheetData>
      <sheetData sheetId="2">
        <row r="1">
          <cell r="C1" t="str">
            <v>HH completas</v>
          </cell>
          <cell r="D1" t="str">
            <v>Horas restantes</v>
          </cell>
          <cell r="E1" t="str">
            <v>Ideal Burn down</v>
          </cell>
          <cell r="F1" t="str">
            <v>Ideal Burn up</v>
          </cell>
        </row>
        <row r="2">
          <cell r="A2">
            <v>1</v>
          </cell>
          <cell r="C2">
            <v>5</v>
          </cell>
          <cell r="D2">
            <v>383</v>
          </cell>
          <cell r="E2">
            <v>388</v>
          </cell>
          <cell r="F2">
            <v>0</v>
          </cell>
        </row>
        <row r="3">
          <cell r="A3">
            <v>2</v>
          </cell>
          <cell r="C3">
            <v>12</v>
          </cell>
          <cell r="D3">
            <v>376</v>
          </cell>
          <cell r="E3">
            <v>360.28571428571428</v>
          </cell>
          <cell r="F3">
            <v>27.714285714285715</v>
          </cell>
        </row>
        <row r="4">
          <cell r="A4">
            <v>3</v>
          </cell>
          <cell r="C4">
            <v>22</v>
          </cell>
          <cell r="D4">
            <v>366</v>
          </cell>
          <cell r="E4">
            <v>332.57142857142856</v>
          </cell>
          <cell r="F4">
            <v>55.428571428571431</v>
          </cell>
        </row>
        <row r="5">
          <cell r="A5">
            <v>4</v>
          </cell>
          <cell r="C5">
            <v>38</v>
          </cell>
          <cell r="D5">
            <v>350</v>
          </cell>
          <cell r="E5">
            <v>304.85714285714289</v>
          </cell>
          <cell r="F5">
            <v>83.142857142857139</v>
          </cell>
        </row>
        <row r="6">
          <cell r="A6">
            <v>5</v>
          </cell>
          <cell r="C6">
            <v>58</v>
          </cell>
          <cell r="D6">
            <v>330</v>
          </cell>
          <cell r="E6">
            <v>277.14285714285711</v>
          </cell>
          <cell r="F6">
            <v>110.85714285714286</v>
          </cell>
        </row>
        <row r="7">
          <cell r="A7">
            <v>6</v>
          </cell>
          <cell r="C7">
            <v>80</v>
          </cell>
          <cell r="D7">
            <v>308</v>
          </cell>
          <cell r="E7">
            <v>249.42857142857142</v>
          </cell>
          <cell r="F7">
            <v>138.57142857142858</v>
          </cell>
        </row>
        <row r="8">
          <cell r="A8">
            <v>7</v>
          </cell>
          <cell r="C8">
            <v>112</v>
          </cell>
          <cell r="D8">
            <v>276</v>
          </cell>
          <cell r="E8">
            <v>221.71428571428572</v>
          </cell>
          <cell r="F8">
            <v>166.28571428571428</v>
          </cell>
        </row>
        <row r="9">
          <cell r="A9">
            <v>8</v>
          </cell>
          <cell r="C9">
            <v>156</v>
          </cell>
          <cell r="D9">
            <v>232</v>
          </cell>
          <cell r="E9">
            <v>194</v>
          </cell>
          <cell r="F9">
            <v>194</v>
          </cell>
        </row>
        <row r="10">
          <cell r="A10">
            <v>9</v>
          </cell>
          <cell r="C10">
            <v>210</v>
          </cell>
          <cell r="D10">
            <v>178</v>
          </cell>
          <cell r="E10">
            <v>166.28571428571428</v>
          </cell>
          <cell r="F10">
            <v>221.71428571428572</v>
          </cell>
        </row>
        <row r="11">
          <cell r="A11">
            <v>10</v>
          </cell>
          <cell r="C11">
            <v>260</v>
          </cell>
          <cell r="D11">
            <v>128</v>
          </cell>
          <cell r="E11">
            <v>138.57142857142856</v>
          </cell>
          <cell r="F11">
            <v>249.42857142857144</v>
          </cell>
        </row>
        <row r="12">
          <cell r="A12">
            <v>11</v>
          </cell>
          <cell r="C12">
            <v>310</v>
          </cell>
          <cell r="D12">
            <v>78</v>
          </cell>
          <cell r="E12">
            <v>110.85714285714283</v>
          </cell>
          <cell r="F12">
            <v>277.14285714285717</v>
          </cell>
        </row>
        <row r="13">
          <cell r="A13">
            <v>12</v>
          </cell>
          <cell r="C13">
            <v>350</v>
          </cell>
          <cell r="D13">
            <v>38</v>
          </cell>
          <cell r="E13">
            <v>83.14285714285711</v>
          </cell>
          <cell r="F13">
            <v>304.85714285714289</v>
          </cell>
        </row>
        <row r="14">
          <cell r="A14">
            <v>13</v>
          </cell>
          <cell r="C14">
            <v>381</v>
          </cell>
          <cell r="D14">
            <v>7</v>
          </cell>
          <cell r="E14">
            <v>55.428571428571445</v>
          </cell>
          <cell r="F14">
            <v>332.57142857142856</v>
          </cell>
        </row>
        <row r="15">
          <cell r="A15">
            <v>14</v>
          </cell>
          <cell r="C15">
            <v>391</v>
          </cell>
          <cell r="D15">
            <v>0</v>
          </cell>
          <cell r="E15">
            <v>27.714285714285722</v>
          </cell>
          <cell r="F15">
            <v>360.28571428571428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A659-7490-43D9-B3EA-D1197910351E}">
  <dimension ref="C2:D8"/>
  <sheetViews>
    <sheetView topLeftCell="B1" workbookViewId="0">
      <selection activeCell="D13" sqref="D13"/>
    </sheetView>
  </sheetViews>
  <sheetFormatPr baseColWidth="10" defaultRowHeight="15" x14ac:dyDescent="0.25"/>
  <cols>
    <col min="2" max="2" width="19.140625" customWidth="1"/>
    <col min="3" max="3" width="37.140625" bestFit="1" customWidth="1"/>
    <col min="4" max="4" width="33.5703125" bestFit="1" customWidth="1"/>
  </cols>
  <sheetData>
    <row r="2" spans="3:4" ht="15.75" thickBot="1" x14ac:dyDescent="0.3"/>
    <row r="3" spans="3:4" ht="15.75" thickBot="1" x14ac:dyDescent="0.3">
      <c r="C3" s="2" t="s">
        <v>0</v>
      </c>
      <c r="D3" s="2" t="s">
        <v>1</v>
      </c>
    </row>
    <row r="4" spans="3:4" ht="15.75" thickBot="1" x14ac:dyDescent="0.3">
      <c r="C4" s="1" t="s">
        <v>6</v>
      </c>
      <c r="D4" s="1">
        <v>4</v>
      </c>
    </row>
    <row r="5" spans="3:4" ht="15.75" thickBot="1" x14ac:dyDescent="0.3">
      <c r="C5" s="1" t="s">
        <v>2</v>
      </c>
      <c r="D5" s="1" t="s">
        <v>7</v>
      </c>
    </row>
    <row r="6" spans="3:4" ht="15.75" thickBot="1" x14ac:dyDescent="0.3">
      <c r="C6" s="1" t="s">
        <v>3</v>
      </c>
      <c r="D6" s="1">
        <v>3</v>
      </c>
    </row>
    <row r="7" spans="3:4" ht="15.75" thickBot="1" x14ac:dyDescent="0.3">
      <c r="C7" s="1" t="s">
        <v>4</v>
      </c>
      <c r="D7" s="1" t="s">
        <v>8</v>
      </c>
    </row>
    <row r="8" spans="3:4" ht="15.75" thickBot="1" x14ac:dyDescent="0.3">
      <c r="C8" s="1" t="s">
        <v>5</v>
      </c>
      <c r="D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9F47-7683-456E-9112-D4CA7CF018DF}">
  <dimension ref="B2:L16"/>
  <sheetViews>
    <sheetView zoomScaleNormal="100" workbookViewId="0">
      <selection activeCell="B22" sqref="B19:F22"/>
    </sheetView>
  </sheetViews>
  <sheetFormatPr baseColWidth="10" defaultRowHeight="15" x14ac:dyDescent="0.25"/>
  <cols>
    <col min="2" max="2" width="42" bestFit="1" customWidth="1"/>
    <col min="3" max="3" width="20.140625" bestFit="1" customWidth="1"/>
    <col min="4" max="5" width="10.7109375" bestFit="1" customWidth="1"/>
    <col min="6" max="6" width="35.140625" bestFit="1" customWidth="1"/>
    <col min="7" max="7" width="15.7109375" bestFit="1" customWidth="1"/>
    <col min="9" max="9" width="13.28515625" bestFit="1" customWidth="1"/>
    <col min="10" max="10" width="11.7109375" bestFit="1" customWidth="1"/>
    <col min="11" max="11" width="13.28515625" bestFit="1" customWidth="1"/>
    <col min="12" max="12" width="11.7109375" bestFit="1" customWidth="1"/>
  </cols>
  <sheetData>
    <row r="2" spans="2:12" x14ac:dyDescent="0.25">
      <c r="B2" s="8" t="s">
        <v>10</v>
      </c>
      <c r="C2" s="9"/>
      <c r="D2" s="9"/>
      <c r="E2" s="9"/>
      <c r="F2" s="10"/>
      <c r="G2" s="12" t="s">
        <v>23</v>
      </c>
      <c r="H2" s="13"/>
      <c r="I2" s="12" t="s">
        <v>22</v>
      </c>
      <c r="J2" s="14"/>
      <c r="K2" s="9"/>
      <c r="L2" s="10"/>
    </row>
    <row r="3" spans="2:12" x14ac:dyDescent="0.25"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16</v>
      </c>
      <c r="J3" s="11" t="s">
        <v>17</v>
      </c>
      <c r="K3" s="11" t="s">
        <v>18</v>
      </c>
      <c r="L3" s="11" t="s">
        <v>19</v>
      </c>
    </row>
    <row r="4" spans="2:12" x14ac:dyDescent="0.25">
      <c r="B4" s="3" t="s">
        <v>24</v>
      </c>
      <c r="C4" s="4" t="s">
        <v>20</v>
      </c>
      <c r="D4" s="4">
        <v>3</v>
      </c>
      <c r="E4" s="4" t="s">
        <v>30</v>
      </c>
      <c r="F4" s="4" t="s">
        <v>27</v>
      </c>
      <c r="G4" s="5">
        <v>45981</v>
      </c>
      <c r="H4" s="5">
        <v>45982</v>
      </c>
      <c r="I4" s="5">
        <v>45982</v>
      </c>
      <c r="J4" s="5">
        <v>45983</v>
      </c>
      <c r="K4" s="6">
        <v>3</v>
      </c>
      <c r="L4" s="6">
        <v>2</v>
      </c>
    </row>
    <row r="5" spans="2:12" x14ac:dyDescent="0.25">
      <c r="B5" s="3" t="s">
        <v>25</v>
      </c>
      <c r="C5" s="4" t="s">
        <v>21</v>
      </c>
      <c r="D5" s="4">
        <v>2</v>
      </c>
      <c r="E5" s="4" t="s">
        <v>30</v>
      </c>
      <c r="F5" s="4" t="s">
        <v>28</v>
      </c>
      <c r="G5" s="5">
        <v>45981</v>
      </c>
      <c r="H5" s="5">
        <v>45982</v>
      </c>
      <c r="I5" s="5">
        <v>45982</v>
      </c>
      <c r="J5" s="5">
        <v>45983</v>
      </c>
      <c r="K5" s="6">
        <v>2</v>
      </c>
      <c r="L5" s="6">
        <v>1</v>
      </c>
    </row>
    <row r="6" spans="2:12" x14ac:dyDescent="0.25">
      <c r="B6" s="4" t="s">
        <v>26</v>
      </c>
      <c r="C6" s="4" t="s">
        <v>20</v>
      </c>
      <c r="D6" s="4">
        <v>2</v>
      </c>
      <c r="E6" s="4" t="s">
        <v>30</v>
      </c>
      <c r="F6" s="4" t="s">
        <v>29</v>
      </c>
      <c r="G6" s="5">
        <v>45981</v>
      </c>
      <c r="H6" s="5">
        <v>45982</v>
      </c>
      <c r="I6" s="5">
        <v>45982</v>
      </c>
      <c r="J6" s="5">
        <v>45983</v>
      </c>
      <c r="K6" s="6">
        <v>2</v>
      </c>
      <c r="L6" s="4">
        <v>0.5</v>
      </c>
    </row>
    <row r="7" spans="2:12" x14ac:dyDescent="0.25">
      <c r="B7" s="4" t="s">
        <v>31</v>
      </c>
      <c r="C7" s="4" t="s">
        <v>32</v>
      </c>
      <c r="D7" s="4">
        <v>8</v>
      </c>
      <c r="E7" s="4" t="s">
        <v>30</v>
      </c>
      <c r="F7" s="4" t="s">
        <v>45</v>
      </c>
      <c r="G7" s="5">
        <v>45980</v>
      </c>
      <c r="H7" s="5">
        <v>45984</v>
      </c>
      <c r="I7" s="5">
        <v>45982</v>
      </c>
      <c r="J7" s="5">
        <v>45984</v>
      </c>
      <c r="K7" s="4">
        <v>8</v>
      </c>
      <c r="L7" s="7">
        <v>12</v>
      </c>
    </row>
    <row r="8" spans="2:12" x14ac:dyDescent="0.25">
      <c r="B8" s="4" t="s">
        <v>33</v>
      </c>
      <c r="C8" s="4" t="s">
        <v>34</v>
      </c>
      <c r="D8" s="4">
        <v>2</v>
      </c>
      <c r="E8" s="4" t="s">
        <v>30</v>
      </c>
      <c r="F8" s="4" t="s">
        <v>45</v>
      </c>
      <c r="G8" s="5">
        <v>45980</v>
      </c>
      <c r="H8" s="5">
        <v>45984</v>
      </c>
      <c r="I8" s="5">
        <v>45982</v>
      </c>
      <c r="J8" s="5">
        <v>45984</v>
      </c>
      <c r="K8" s="4">
        <v>2</v>
      </c>
      <c r="L8" s="6">
        <v>1</v>
      </c>
    </row>
    <row r="9" spans="2:12" x14ac:dyDescent="0.25">
      <c r="B9" s="4" t="s">
        <v>35</v>
      </c>
      <c r="C9" s="4" t="s">
        <v>32</v>
      </c>
      <c r="D9" s="4">
        <v>1</v>
      </c>
      <c r="E9" s="4" t="s">
        <v>30</v>
      </c>
      <c r="F9" s="4" t="s">
        <v>45</v>
      </c>
      <c r="G9" s="5">
        <v>45980</v>
      </c>
      <c r="H9" s="5">
        <v>45984</v>
      </c>
      <c r="I9" s="5">
        <v>45982</v>
      </c>
      <c r="J9" s="5">
        <v>45984</v>
      </c>
      <c r="K9" s="4">
        <v>1</v>
      </c>
      <c r="L9" s="4">
        <v>0.5</v>
      </c>
    </row>
    <row r="10" spans="2:12" x14ac:dyDescent="0.25">
      <c r="B10" s="4" t="s">
        <v>36</v>
      </c>
      <c r="C10" s="4" t="s">
        <v>21</v>
      </c>
      <c r="D10" s="4">
        <v>1</v>
      </c>
      <c r="E10" s="4" t="s">
        <v>30</v>
      </c>
      <c r="F10" s="4" t="s">
        <v>45</v>
      </c>
      <c r="G10" s="5">
        <v>45980</v>
      </c>
      <c r="H10" s="5">
        <v>45984</v>
      </c>
      <c r="I10" s="5">
        <v>45982</v>
      </c>
      <c r="J10" s="5">
        <v>45984</v>
      </c>
      <c r="K10" s="4">
        <v>1</v>
      </c>
      <c r="L10" s="6">
        <v>1</v>
      </c>
    </row>
    <row r="11" spans="2:12" x14ac:dyDescent="0.25">
      <c r="B11" s="4" t="s">
        <v>37</v>
      </c>
      <c r="C11" s="4" t="s">
        <v>43</v>
      </c>
      <c r="D11" s="4">
        <v>3</v>
      </c>
      <c r="E11" s="4" t="s">
        <v>30</v>
      </c>
      <c r="F11" s="4" t="s">
        <v>45</v>
      </c>
      <c r="G11" s="5">
        <v>45980</v>
      </c>
      <c r="H11" s="5">
        <v>45984</v>
      </c>
      <c r="I11" s="5">
        <v>45982</v>
      </c>
      <c r="J11" s="5">
        <v>45984</v>
      </c>
      <c r="K11" s="4">
        <v>3</v>
      </c>
      <c r="L11" s="6">
        <v>2</v>
      </c>
    </row>
    <row r="12" spans="2:12" x14ac:dyDescent="0.25">
      <c r="B12" s="4" t="s">
        <v>38</v>
      </c>
      <c r="C12" s="4" t="s">
        <v>44</v>
      </c>
      <c r="D12" s="4">
        <v>4</v>
      </c>
      <c r="E12" s="4" t="s">
        <v>30</v>
      </c>
      <c r="F12" s="4" t="s">
        <v>45</v>
      </c>
      <c r="G12" s="5">
        <v>45980</v>
      </c>
      <c r="H12" s="5">
        <v>45984</v>
      </c>
      <c r="I12" s="5">
        <v>45982</v>
      </c>
      <c r="J12" s="5">
        <v>45984</v>
      </c>
      <c r="K12" s="4">
        <v>4</v>
      </c>
      <c r="L12" s="6">
        <v>2</v>
      </c>
    </row>
    <row r="13" spans="2:12" x14ac:dyDescent="0.25">
      <c r="B13" s="4" t="s">
        <v>39</v>
      </c>
      <c r="C13" s="4" t="s">
        <v>44</v>
      </c>
      <c r="D13" s="4">
        <v>2</v>
      </c>
      <c r="E13" s="4" t="s">
        <v>30</v>
      </c>
      <c r="F13" s="4" t="s">
        <v>45</v>
      </c>
      <c r="G13" s="5">
        <v>45980</v>
      </c>
      <c r="H13" s="5">
        <v>45984</v>
      </c>
      <c r="I13" s="5">
        <v>45982</v>
      </c>
      <c r="J13" s="5">
        <v>45984</v>
      </c>
      <c r="K13" s="4">
        <v>2</v>
      </c>
      <c r="L13" s="6">
        <v>1</v>
      </c>
    </row>
    <row r="14" spans="2:12" x14ac:dyDescent="0.25">
      <c r="B14" s="4" t="s">
        <v>40</v>
      </c>
      <c r="C14" s="4" t="s">
        <v>44</v>
      </c>
      <c r="D14" s="4">
        <v>1</v>
      </c>
      <c r="E14" s="4" t="s">
        <v>30</v>
      </c>
      <c r="F14" s="4" t="s">
        <v>45</v>
      </c>
      <c r="G14" s="5">
        <v>45980</v>
      </c>
      <c r="H14" s="5">
        <v>45984</v>
      </c>
      <c r="I14" s="5">
        <v>45982</v>
      </c>
      <c r="J14" s="5">
        <v>45984</v>
      </c>
      <c r="K14" s="4">
        <v>1</v>
      </c>
      <c r="L14" s="4">
        <v>0.5</v>
      </c>
    </row>
    <row r="15" spans="2:12" x14ac:dyDescent="0.25">
      <c r="B15" s="4" t="s">
        <v>41</v>
      </c>
      <c r="C15" s="4" t="s">
        <v>32</v>
      </c>
      <c r="D15" s="4">
        <v>2</v>
      </c>
      <c r="E15" s="4" t="s">
        <v>30</v>
      </c>
      <c r="F15" s="4" t="s">
        <v>45</v>
      </c>
      <c r="G15" s="5">
        <v>45980</v>
      </c>
      <c r="H15" s="5">
        <v>45984</v>
      </c>
      <c r="I15" s="5">
        <v>45982</v>
      </c>
      <c r="J15" s="5">
        <v>45984</v>
      </c>
      <c r="K15" s="4">
        <v>2</v>
      </c>
      <c r="L15" s="6">
        <v>1</v>
      </c>
    </row>
    <row r="16" spans="2:12" x14ac:dyDescent="0.25">
      <c r="B16" s="4" t="s">
        <v>42</v>
      </c>
      <c r="C16" s="4" t="s">
        <v>43</v>
      </c>
      <c r="D16" s="4">
        <v>8</v>
      </c>
      <c r="E16" s="4" t="s">
        <v>30</v>
      </c>
      <c r="F16" s="4" t="s">
        <v>45</v>
      </c>
      <c r="G16" s="5">
        <v>45975</v>
      </c>
      <c r="H16" s="5">
        <v>45984</v>
      </c>
      <c r="I16" s="5">
        <v>45982</v>
      </c>
      <c r="J16" s="5">
        <v>45984</v>
      </c>
      <c r="K16" s="4">
        <v>8</v>
      </c>
      <c r="L16" s="6">
        <v>4</v>
      </c>
    </row>
  </sheetData>
  <mergeCells count="2">
    <mergeCell ref="G2:H2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25EE-7F36-4B13-AD7C-90EFFAA1E658}">
  <dimension ref="A1:E4"/>
  <sheetViews>
    <sheetView workbookViewId="0">
      <selection activeCell="M15" sqref="M15"/>
    </sheetView>
  </sheetViews>
  <sheetFormatPr baseColWidth="10" defaultRowHeight="15" x14ac:dyDescent="0.25"/>
  <cols>
    <col min="1" max="1" width="5.42578125" bestFit="1" customWidth="1"/>
    <col min="2" max="2" width="13.28515625" bestFit="1" customWidth="1"/>
    <col min="3" max="3" width="9.42578125" bestFit="1" customWidth="1"/>
    <col min="4" max="4" width="25.140625" bestFit="1" customWidth="1"/>
    <col min="5" max="5" width="21.28515625" bestFit="1" customWidth="1"/>
  </cols>
  <sheetData>
    <row r="1" spans="1:5" x14ac:dyDescent="0.25">
      <c r="B1" t="s">
        <v>18</v>
      </c>
      <c r="C1" t="s">
        <v>49</v>
      </c>
      <c r="D1" t="s">
        <v>50</v>
      </c>
      <c r="E1" t="s">
        <v>51</v>
      </c>
    </row>
    <row r="2" spans="1:5" x14ac:dyDescent="0.25">
      <c r="A2" t="s">
        <v>46</v>
      </c>
      <c r="B2">
        <v>3</v>
      </c>
      <c r="C2">
        <v>2</v>
      </c>
      <c r="D2">
        <v>3</v>
      </c>
      <c r="E2">
        <v>2</v>
      </c>
    </row>
    <row r="3" spans="1:5" x14ac:dyDescent="0.25">
      <c r="A3" t="s">
        <v>47</v>
      </c>
      <c r="B3">
        <v>2</v>
      </c>
      <c r="C3">
        <v>1</v>
      </c>
      <c r="D3">
        <v>5</v>
      </c>
      <c r="E3">
        <v>3</v>
      </c>
    </row>
    <row r="4" spans="1:5" x14ac:dyDescent="0.25">
      <c r="A4" t="s">
        <v>48</v>
      </c>
      <c r="B4">
        <v>2</v>
      </c>
      <c r="C4">
        <v>0.5</v>
      </c>
      <c r="D4">
        <v>7</v>
      </c>
      <c r="E4">
        <v>3.5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CB0E-B684-44EB-907A-E1F360E1314F}">
  <dimension ref="A1:F4"/>
  <sheetViews>
    <sheetView tabSelected="1" workbookViewId="0">
      <selection activeCell="I22" sqref="I22"/>
    </sheetView>
  </sheetViews>
  <sheetFormatPr baseColWidth="10" defaultRowHeight="15" x14ac:dyDescent="0.25"/>
  <cols>
    <col min="1" max="1" width="4" bestFit="1" customWidth="1"/>
    <col min="2" max="2" width="19.85546875" bestFit="1" customWidth="1"/>
    <col min="3" max="3" width="13.28515625" bestFit="1" customWidth="1"/>
    <col min="4" max="4" width="14.85546875" bestFit="1" customWidth="1"/>
    <col min="5" max="5" width="15.28515625" bestFit="1" customWidth="1"/>
    <col min="6" max="6" width="12.7109375" bestFit="1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25">
      <c r="A2">
        <v>1</v>
      </c>
      <c r="B2">
        <v>7</v>
      </c>
      <c r="C2">
        <v>2</v>
      </c>
      <c r="D2">
        <f xml:space="preserve"> $B$2 - C2</f>
        <v>5</v>
      </c>
      <c r="E2">
        <f>$B$2 - ($B$2/14)*(A2-1)</f>
        <v>7</v>
      </c>
      <c r="F2">
        <f>($B$2/14)*(A2-1)</f>
        <v>0</v>
      </c>
    </row>
    <row r="3" spans="1:6" x14ac:dyDescent="0.25">
      <c r="A3">
        <v>2</v>
      </c>
      <c r="B3">
        <v>7</v>
      </c>
      <c r="C3">
        <v>3</v>
      </c>
      <c r="D3">
        <f t="shared" ref="D3:D14" si="0" xml:space="preserve"> $B$2 - C3</f>
        <v>4</v>
      </c>
      <c r="E3">
        <f t="shared" ref="E3:E15" si="1">$B$2 - ($B$2/14)*(A3-1)</f>
        <v>6.5</v>
      </c>
      <c r="F3">
        <f t="shared" ref="F3:F15" si="2">($B$2/14)*(A3-1)</f>
        <v>0.5</v>
      </c>
    </row>
    <row r="4" spans="1:6" x14ac:dyDescent="0.25">
      <c r="A4">
        <v>3</v>
      </c>
      <c r="B4">
        <v>7</v>
      </c>
      <c r="C4">
        <v>3.5</v>
      </c>
      <c r="D4">
        <f t="shared" si="0"/>
        <v>3.5</v>
      </c>
      <c r="E4">
        <f t="shared" si="1"/>
        <v>6</v>
      </c>
      <c r="F4">
        <f>($B$2/14)*(A4-1)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 backlog</vt:lpstr>
      <vt:lpstr>Planificacion del sprint</vt:lpstr>
      <vt:lpstr>HH estimadas vs HH reales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VALDOVINOS BRAVO SEBASTIÁN I</dc:creator>
  <cp:lastModifiedBy>HERRERA MOLINA DIEGO A</cp:lastModifiedBy>
  <dcterms:created xsi:type="dcterms:W3CDTF">2025-11-23T02:23:48Z</dcterms:created>
  <dcterms:modified xsi:type="dcterms:W3CDTF">2025-11-24T01:38:48Z</dcterms:modified>
</cp:coreProperties>
</file>