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versidad\Software\incremento 2\documentos\"/>
    </mc:Choice>
  </mc:AlternateContent>
  <xr:revisionPtr revIDLastSave="0" documentId="13_ncr:1_{ED81061E-840A-4A8A-B47F-09419D298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ficación" sheetId="1" r:id="rId1"/>
    <sheet name="HH estimadas vs HH re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GAZi17pe9VQPAeZNOm4+tznoCIfsdFxmrFgLf91OY4=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3" i="2"/>
  <c r="E2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3" i="2"/>
  <c r="D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C2" i="2"/>
  <c r="B2" i="2"/>
  <c r="A47" i="2"/>
  <c r="A48" i="2"/>
  <c r="A49" i="2"/>
  <c r="A5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3" i="2"/>
  <c r="A4" i="2"/>
  <c r="A5" i="2"/>
  <c r="A6" i="2"/>
  <c r="A7" i="2"/>
  <c r="A8" i="2"/>
  <c r="A9" i="2"/>
  <c r="A10" i="2"/>
  <c r="A2" i="2"/>
</calcChain>
</file>

<file path=xl/sharedStrings.xml><?xml version="1.0" encoding="utf-8"?>
<sst xmlns="http://schemas.openxmlformats.org/spreadsheetml/2006/main" count="364" uniqueCount="158">
  <si>
    <t>PILA DEL PRODUCTO</t>
  </si>
  <si>
    <t>FECHA ESTIMADA</t>
  </si>
  <si>
    <t>FECHA REAL</t>
  </si>
  <si>
    <t>CU</t>
  </si>
  <si>
    <t>TIPO</t>
  </si>
  <si>
    <t>Tarea</t>
  </si>
  <si>
    <t>Responsable</t>
  </si>
  <si>
    <t>Estimar HH</t>
  </si>
  <si>
    <t>Estado</t>
  </si>
  <si>
    <t>Objetivo del sprint</t>
  </si>
  <si>
    <t>Inicio</t>
  </si>
  <si>
    <t>Fin</t>
  </si>
  <si>
    <t>FECHA REAL Inicio</t>
  </si>
  <si>
    <t>FECHA REAL Fin</t>
  </si>
  <si>
    <t>HH Estimadas</t>
  </si>
  <si>
    <t>HH Efectivas</t>
  </si>
  <si>
    <t>Estado Final</t>
  </si>
  <si>
    <t>CU15</t>
  </si>
  <si>
    <t>Programacion</t>
  </si>
  <si>
    <t>Confirmando la entrega por parte del chofer.</t>
  </si>
  <si>
    <t>Tomas Andres Burgos Bottari</t>
  </si>
  <si>
    <t>En proceso</t>
  </si>
  <si>
    <t>Cumplir con CU15</t>
  </si>
  <si>
    <t>Finalizado</t>
  </si>
  <si>
    <t>CU16</t>
  </si>
  <si>
    <t>Cancelando el pedido.</t>
  </si>
  <si>
    <t>Juan Pablo Olmedo Saavedra</t>
  </si>
  <si>
    <t>Cumplir con CU16</t>
  </si>
  <si>
    <t>CU17</t>
  </si>
  <si>
    <t>Registrando nuevo pedido.</t>
  </si>
  <si>
    <t>Cumplir con CU17</t>
  </si>
  <si>
    <t>CU18</t>
  </si>
  <si>
    <t>Validando el formato de fecha/hora en pedidos.</t>
  </si>
  <si>
    <t>Cumplir con CU18</t>
  </si>
  <si>
    <t>CU19</t>
  </si>
  <si>
    <t>Consultando el historial de pedidos por cliente.</t>
  </si>
  <si>
    <t>Cumplir con CU19</t>
  </si>
  <si>
    <t>CU20</t>
  </si>
  <si>
    <t>Soportando la búsqueda masiva en el historial de pedidos.</t>
  </si>
  <si>
    <t>Cumplir con CU20</t>
  </si>
  <si>
    <t>CU21</t>
  </si>
  <si>
    <t>Asignando pedidos a choferes.</t>
  </si>
  <si>
    <t>Cumplir con CU21</t>
  </si>
  <si>
    <t>CU22</t>
  </si>
  <si>
    <t>Registrando el método de pago en el pedido</t>
  </si>
  <si>
    <t>Cumplir con CU22</t>
  </si>
  <si>
    <t>CU23</t>
  </si>
  <si>
    <t>Validando obligatoriamente el método de pago.</t>
  </si>
  <si>
    <t>Cumplir con CU23</t>
  </si>
  <si>
    <t>CU24</t>
  </si>
  <si>
    <t>Consultando el resumen diario de entregas por chofer.</t>
  </si>
  <si>
    <t>Cumplir con CU24</t>
  </si>
  <si>
    <t>CU27</t>
  </si>
  <si>
    <t>Consultando el resumen diario de pedidos.</t>
  </si>
  <si>
    <t>Cumplir con CU27</t>
  </si>
  <si>
    <t>CU28</t>
  </si>
  <si>
    <t>Consultando estadística semanal de pedidos entregados.</t>
  </si>
  <si>
    <t>Cumplir con CU28</t>
  </si>
  <si>
    <t>CU29</t>
  </si>
  <si>
    <t>Accediendo desde dispositivo móvil</t>
  </si>
  <si>
    <t>Cumplir con CU29</t>
  </si>
  <si>
    <t>CU30</t>
  </si>
  <si>
    <t>Registrando el log de acciones de los usuarios.</t>
  </si>
  <si>
    <t>Cumplir con CU30</t>
  </si>
  <si>
    <t>CU32</t>
  </si>
  <si>
    <t>Visualizando el resumen de actividad reciente en el perfil web.</t>
  </si>
  <si>
    <t>Cumplir con CU32</t>
  </si>
  <si>
    <t>CU33</t>
  </si>
  <si>
    <t>Registrando nuevos usuarios</t>
  </si>
  <si>
    <t>Cumplir con CU33</t>
  </si>
  <si>
    <t>CU34</t>
  </si>
  <si>
    <t>Modificando o desactivando cuentas de usuario</t>
  </si>
  <si>
    <t>Cumplir con CU34</t>
  </si>
  <si>
    <t>CU35</t>
  </si>
  <si>
    <t>Cambiando contraseña desde el perfil</t>
  </si>
  <si>
    <t>Cumplir con CU35</t>
  </si>
  <si>
    <t>CU36</t>
  </si>
  <si>
    <t>Confirmando acción sensible con contraseña</t>
  </si>
  <si>
    <t>Diego Alonso Herrera Molina</t>
  </si>
  <si>
    <t>Cumplir con CU36</t>
  </si>
  <si>
    <t>CU38</t>
  </si>
  <si>
    <t>Exportando datos sensibles</t>
  </si>
  <si>
    <t>Cumplir con CU38</t>
  </si>
  <si>
    <t>CU39</t>
  </si>
  <si>
    <t>Fijando mensajes importantes en el panel</t>
  </si>
  <si>
    <t>Cumplir con CU39</t>
  </si>
  <si>
    <t>CU41</t>
  </si>
  <si>
    <t>Registrando inicios de sesión</t>
  </si>
  <si>
    <t>Cumplir con CU41</t>
  </si>
  <si>
    <t>CU42</t>
  </si>
  <si>
    <t>Adjuntando documentos de proveedores</t>
  </si>
  <si>
    <t>Cumplir con CU42</t>
  </si>
  <si>
    <t>CU43</t>
  </si>
  <si>
    <t>Almacenando manuales y procedimientos internos</t>
  </si>
  <si>
    <t>Cumplir con CU43</t>
  </si>
  <si>
    <t>CU44</t>
  </si>
  <si>
    <t>Iniciando chat interno entre usuarios</t>
  </si>
  <si>
    <t>Cumplir con CU44</t>
  </si>
  <si>
    <t>CU46</t>
  </si>
  <si>
    <t>Registrando vehículos para entregas</t>
  </si>
  <si>
    <t>Cumplir con CU46</t>
  </si>
  <si>
    <t>CU47</t>
  </si>
  <si>
    <t>Subiendo contratos digitales del personal</t>
  </si>
  <si>
    <t>Cumplir con CU47</t>
  </si>
  <si>
    <t>CU48</t>
  </si>
  <si>
    <t>Estableciendo objetivos mensuales de ventas y entregas</t>
  </si>
  <si>
    <t>Cumplir con CU48</t>
  </si>
  <si>
    <t>CU49</t>
  </si>
  <si>
    <t>Consultando evolución mensual de ventas por tipo de cilindro</t>
  </si>
  <si>
    <t>Cumplir con CU49</t>
  </si>
  <si>
    <t>CU50</t>
  </si>
  <si>
    <t>Visualizando sugerencias de reabastecimiento en el panel</t>
  </si>
  <si>
    <t>Cumplir con CU50</t>
  </si>
  <si>
    <t>CU51</t>
  </si>
  <si>
    <t>Bloqueando temporalmente la cuenta tras intentos fallidos</t>
  </si>
  <si>
    <t>Cumplir con CU51</t>
  </si>
  <si>
    <t>CU52</t>
  </si>
  <si>
    <t>Notificando vencimiento de documentos de proveedores</t>
  </si>
  <si>
    <t>Cumplir con CU52</t>
  </si>
  <si>
    <t>CU53</t>
  </si>
  <si>
    <t>Mostrando control de versiones de documentos internos</t>
  </si>
  <si>
    <t>Cumplir con CU53</t>
  </si>
  <si>
    <t>CU54</t>
  </si>
  <si>
    <t>Mostrando resumen de cumplimiento de objetivos en gráficas</t>
  </si>
  <si>
    <t>Cumplir con CU54</t>
  </si>
  <si>
    <t>CU56</t>
  </si>
  <si>
    <t>Consultando historial de sesiones por usuario</t>
  </si>
  <si>
    <t>Cumplir con CU56</t>
  </si>
  <si>
    <t>CU58</t>
  </si>
  <si>
    <t>Consultando estadísticas semanales de entregas fallidas.</t>
  </si>
  <si>
    <t>Cumplir con CU58</t>
  </si>
  <si>
    <t>CU62</t>
  </si>
  <si>
    <t>Filtrando por chofer gráfica de cumplimiento de objetivos mensuales</t>
  </si>
  <si>
    <t>Cumplir con CU62</t>
  </si>
  <si>
    <t>CU63</t>
  </si>
  <si>
    <t>Asociando entregas a vehículos registrados</t>
  </si>
  <si>
    <t>Cumplir con CU63</t>
  </si>
  <si>
    <t>Informe</t>
  </si>
  <si>
    <t>Documentacion</t>
  </si>
  <si>
    <t>Realizar planificación general del proyecto</t>
  </si>
  <si>
    <t>Anakin Adolfo Benavides Romero</t>
  </si>
  <si>
    <t>Documentación y soporte del proyecto</t>
  </si>
  <si>
    <t>Elaborar informe final del proyecto</t>
  </si>
  <si>
    <t>Diseñar diagramas de secuencia</t>
  </si>
  <si>
    <t>Sebastián Ignacio Valdovinos Bravo</t>
  </si>
  <si>
    <t>Diseñar diagrama de despliegue</t>
  </si>
  <si>
    <t>Diseñar diagrama de componentes</t>
  </si>
  <si>
    <t>Diseñar árbol de navegación</t>
  </si>
  <si>
    <t>Diseñar base de datos</t>
  </si>
  <si>
    <t>Cristóbal Alejandro Valenzuela Rojas</t>
  </si>
  <si>
    <t>Diseñar diagrama de base de datos</t>
  </si>
  <si>
    <t>Preparar backlog y sprint planning</t>
  </si>
  <si>
    <t>Documentar retrospectivas y actas de reunión</t>
  </si>
  <si>
    <t>Generar manual de usuario</t>
  </si>
  <si>
    <t>HH estimadas</t>
  </si>
  <si>
    <t>HH reales</t>
  </si>
  <si>
    <t>HH estimadas acumuladas</t>
  </si>
  <si>
    <t>HH reales acumuladas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</si>
</sst>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HH estimadas V/S</a:t>
            </a:r>
            <a:r>
              <a:rPr lang="es-ES" baseline="0"/>
              <a:t> HH reales (acumuladas)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'HH estimadas vs HH reales'!$D$1</c:f>
              <c:strCache>
                <c:ptCount val="1"/>
                <c:pt idx="0">
                  <c:v>HH estimadas acumuladas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'HH estimadas vs HH reales'!$D$2:$D$50</c:f>
              <c:numCache>
                <c:formatCode>General</c:formatCode>
                <c:ptCount val="49"/>
                <c:pt idx="0">
                  <c:v>10</c:v>
                </c:pt>
                <c:pt idx="1">
                  <c:v>18</c:v>
                </c:pt>
                <c:pt idx="2">
                  <c:v>26</c:v>
                </c:pt>
                <c:pt idx="3">
                  <c:v>36</c:v>
                </c:pt>
                <c:pt idx="4">
                  <c:v>44</c:v>
                </c:pt>
                <c:pt idx="5">
                  <c:v>52</c:v>
                </c:pt>
                <c:pt idx="6">
                  <c:v>59</c:v>
                </c:pt>
                <c:pt idx="7">
                  <c:v>65</c:v>
                </c:pt>
                <c:pt idx="8">
                  <c:v>75</c:v>
                </c:pt>
                <c:pt idx="9">
                  <c:v>82</c:v>
                </c:pt>
                <c:pt idx="10">
                  <c:v>90</c:v>
                </c:pt>
                <c:pt idx="11">
                  <c:v>96</c:v>
                </c:pt>
                <c:pt idx="12">
                  <c:v>103</c:v>
                </c:pt>
                <c:pt idx="13">
                  <c:v>112</c:v>
                </c:pt>
                <c:pt idx="14">
                  <c:v>120</c:v>
                </c:pt>
                <c:pt idx="15">
                  <c:v>127</c:v>
                </c:pt>
                <c:pt idx="16">
                  <c:v>133</c:v>
                </c:pt>
                <c:pt idx="17">
                  <c:v>140</c:v>
                </c:pt>
                <c:pt idx="18">
                  <c:v>147</c:v>
                </c:pt>
                <c:pt idx="19">
                  <c:v>153</c:v>
                </c:pt>
                <c:pt idx="20">
                  <c:v>162</c:v>
                </c:pt>
                <c:pt idx="21">
                  <c:v>169</c:v>
                </c:pt>
                <c:pt idx="22">
                  <c:v>175</c:v>
                </c:pt>
                <c:pt idx="23">
                  <c:v>184</c:v>
                </c:pt>
                <c:pt idx="24">
                  <c:v>191</c:v>
                </c:pt>
                <c:pt idx="25">
                  <c:v>201</c:v>
                </c:pt>
                <c:pt idx="26">
                  <c:v>208</c:v>
                </c:pt>
                <c:pt idx="27">
                  <c:v>217</c:v>
                </c:pt>
                <c:pt idx="28">
                  <c:v>225</c:v>
                </c:pt>
                <c:pt idx="29">
                  <c:v>232</c:v>
                </c:pt>
                <c:pt idx="30">
                  <c:v>239</c:v>
                </c:pt>
                <c:pt idx="31">
                  <c:v>245</c:v>
                </c:pt>
                <c:pt idx="32">
                  <c:v>252</c:v>
                </c:pt>
                <c:pt idx="33">
                  <c:v>258</c:v>
                </c:pt>
                <c:pt idx="34">
                  <c:v>265</c:v>
                </c:pt>
                <c:pt idx="35">
                  <c:v>271</c:v>
                </c:pt>
                <c:pt idx="36">
                  <c:v>280</c:v>
                </c:pt>
                <c:pt idx="37">
                  <c:v>286</c:v>
                </c:pt>
                <c:pt idx="38">
                  <c:v>294</c:v>
                </c:pt>
                <c:pt idx="39">
                  <c:v>302</c:v>
                </c:pt>
                <c:pt idx="40">
                  <c:v>309</c:v>
                </c:pt>
                <c:pt idx="41">
                  <c:v>320</c:v>
                </c:pt>
                <c:pt idx="42">
                  <c:v>332</c:v>
                </c:pt>
                <c:pt idx="43">
                  <c:v>342</c:v>
                </c:pt>
                <c:pt idx="44">
                  <c:v>353</c:v>
                </c:pt>
                <c:pt idx="45">
                  <c:v>363</c:v>
                </c:pt>
                <c:pt idx="46">
                  <c:v>372</c:v>
                </c:pt>
                <c:pt idx="47">
                  <c:v>383</c:v>
                </c:pt>
                <c:pt idx="48">
                  <c:v>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9-473C-A851-8AB85951A37D}"/>
            </c:ext>
          </c:extLst>
        </c:ser>
        <c:ser>
          <c:idx val="1"/>
          <c:order val="1"/>
          <c:tx>
            <c:strRef>
              <c:f>'HH estimadas vs HH reales'!$E$1</c:f>
              <c:strCache>
                <c:ptCount val="1"/>
                <c:pt idx="0">
                  <c:v>HH reales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'HH estimadas vs HH reales'!$E$2:$E$50</c:f>
              <c:numCache>
                <c:formatCode>General</c:formatCode>
                <c:ptCount val="49"/>
                <c:pt idx="0">
                  <c:v>10</c:v>
                </c:pt>
                <c:pt idx="1">
                  <c:v>18</c:v>
                </c:pt>
                <c:pt idx="2">
                  <c:v>25</c:v>
                </c:pt>
                <c:pt idx="3">
                  <c:v>35</c:v>
                </c:pt>
                <c:pt idx="4">
                  <c:v>42</c:v>
                </c:pt>
                <c:pt idx="5">
                  <c:v>50</c:v>
                </c:pt>
                <c:pt idx="6">
                  <c:v>58</c:v>
                </c:pt>
                <c:pt idx="7">
                  <c:v>64</c:v>
                </c:pt>
                <c:pt idx="8">
                  <c:v>75</c:v>
                </c:pt>
                <c:pt idx="9">
                  <c:v>83</c:v>
                </c:pt>
                <c:pt idx="10">
                  <c:v>91</c:v>
                </c:pt>
                <c:pt idx="11">
                  <c:v>97</c:v>
                </c:pt>
                <c:pt idx="12">
                  <c:v>104</c:v>
                </c:pt>
                <c:pt idx="13">
                  <c:v>112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140</c:v>
                </c:pt>
                <c:pt idx="18">
                  <c:v>146</c:v>
                </c:pt>
                <c:pt idx="19">
                  <c:v>153</c:v>
                </c:pt>
                <c:pt idx="20">
                  <c:v>162</c:v>
                </c:pt>
                <c:pt idx="21">
                  <c:v>168</c:v>
                </c:pt>
                <c:pt idx="22">
                  <c:v>174</c:v>
                </c:pt>
                <c:pt idx="23">
                  <c:v>182</c:v>
                </c:pt>
                <c:pt idx="24">
                  <c:v>189</c:v>
                </c:pt>
                <c:pt idx="25">
                  <c:v>200</c:v>
                </c:pt>
                <c:pt idx="26">
                  <c:v>208</c:v>
                </c:pt>
                <c:pt idx="27">
                  <c:v>218</c:v>
                </c:pt>
                <c:pt idx="28">
                  <c:v>225</c:v>
                </c:pt>
                <c:pt idx="29">
                  <c:v>231</c:v>
                </c:pt>
                <c:pt idx="30">
                  <c:v>238</c:v>
                </c:pt>
                <c:pt idx="31">
                  <c:v>244</c:v>
                </c:pt>
                <c:pt idx="32">
                  <c:v>251</c:v>
                </c:pt>
                <c:pt idx="33">
                  <c:v>258</c:v>
                </c:pt>
                <c:pt idx="34">
                  <c:v>266</c:v>
                </c:pt>
                <c:pt idx="35">
                  <c:v>271</c:v>
                </c:pt>
                <c:pt idx="36">
                  <c:v>280</c:v>
                </c:pt>
                <c:pt idx="37">
                  <c:v>287</c:v>
                </c:pt>
                <c:pt idx="38">
                  <c:v>296</c:v>
                </c:pt>
                <c:pt idx="39">
                  <c:v>302</c:v>
                </c:pt>
                <c:pt idx="40">
                  <c:v>307</c:v>
                </c:pt>
                <c:pt idx="41">
                  <c:v>320</c:v>
                </c:pt>
                <c:pt idx="42">
                  <c:v>334</c:v>
                </c:pt>
                <c:pt idx="43">
                  <c:v>343</c:v>
                </c:pt>
                <c:pt idx="44">
                  <c:v>355</c:v>
                </c:pt>
                <c:pt idx="45">
                  <c:v>367</c:v>
                </c:pt>
                <c:pt idx="46">
                  <c:v>376</c:v>
                </c:pt>
                <c:pt idx="47">
                  <c:v>386</c:v>
                </c:pt>
                <c:pt idx="48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9-473C-A851-8AB85951A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38384"/>
        <c:axId val="762736944"/>
      </c:lineChart>
      <c:catAx>
        <c:axId val="7627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6944"/>
        <c:crosses val="autoZero"/>
        <c:auto val="1"/>
        <c:lblAlgn val="ctr"/>
        <c:lblOffset val="100"/>
        <c:noMultiLvlLbl val="0"/>
      </c:catAx>
      <c:valAx>
        <c:axId val="7627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HH</a:t>
            </a:r>
            <a:r>
              <a:rPr lang="es-ES" baseline="0"/>
              <a:t> estimadas V/S HH reales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'HH estimadas vs HH reales'!$B$1</c:f>
              <c:strCache>
                <c:ptCount val="1"/>
                <c:pt idx="0">
                  <c:v>HH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'HH estimadas vs HH reales'!$A$2:$A$50</c:f>
              <c:strCache>
                <c:ptCount val="49"/>
                <c:pt idx="0">
                  <c:v>CU15</c:v>
                </c:pt>
                <c:pt idx="1">
                  <c:v>CU16</c:v>
                </c:pt>
                <c:pt idx="2">
                  <c:v>CU17</c:v>
                </c:pt>
                <c:pt idx="3">
                  <c:v>CU18</c:v>
                </c:pt>
                <c:pt idx="4">
                  <c:v>CU19</c:v>
                </c:pt>
                <c:pt idx="5">
                  <c:v>CU20</c:v>
                </c:pt>
                <c:pt idx="6">
                  <c:v>CU21</c:v>
                </c:pt>
                <c:pt idx="7">
                  <c:v>CU22</c:v>
                </c:pt>
                <c:pt idx="8">
                  <c:v>CU23</c:v>
                </c:pt>
                <c:pt idx="9">
                  <c:v>CU24</c:v>
                </c:pt>
                <c:pt idx="10">
                  <c:v>CU27</c:v>
                </c:pt>
                <c:pt idx="11">
                  <c:v>CU28</c:v>
                </c:pt>
                <c:pt idx="12">
                  <c:v>CU29</c:v>
                </c:pt>
                <c:pt idx="13">
                  <c:v>CU30</c:v>
                </c:pt>
                <c:pt idx="14">
                  <c:v>CU32</c:v>
                </c:pt>
                <c:pt idx="15">
                  <c:v>CU33</c:v>
                </c:pt>
                <c:pt idx="16">
                  <c:v>CU34</c:v>
                </c:pt>
                <c:pt idx="17">
                  <c:v>CU35</c:v>
                </c:pt>
                <c:pt idx="18">
                  <c:v>CU36</c:v>
                </c:pt>
                <c:pt idx="19">
                  <c:v>CU38</c:v>
                </c:pt>
                <c:pt idx="20">
                  <c:v>CU39</c:v>
                </c:pt>
                <c:pt idx="21">
                  <c:v>CU41</c:v>
                </c:pt>
                <c:pt idx="22">
                  <c:v>CU42</c:v>
                </c:pt>
                <c:pt idx="23">
                  <c:v>CU43</c:v>
                </c:pt>
                <c:pt idx="24">
                  <c:v>CU44</c:v>
                </c:pt>
                <c:pt idx="25">
                  <c:v>CU46</c:v>
                </c:pt>
                <c:pt idx="26">
                  <c:v>CU47</c:v>
                </c:pt>
                <c:pt idx="27">
                  <c:v>CU48</c:v>
                </c:pt>
                <c:pt idx="28">
                  <c:v>CU49</c:v>
                </c:pt>
                <c:pt idx="29">
                  <c:v>CU50</c:v>
                </c:pt>
                <c:pt idx="30">
                  <c:v>CU51</c:v>
                </c:pt>
                <c:pt idx="31">
                  <c:v>CU52</c:v>
                </c:pt>
                <c:pt idx="32">
                  <c:v>CU53</c:v>
                </c:pt>
                <c:pt idx="33">
                  <c:v>CU54</c:v>
                </c:pt>
                <c:pt idx="34">
                  <c:v>CU56</c:v>
                </c:pt>
                <c:pt idx="35">
                  <c:v>CU58</c:v>
                </c:pt>
                <c:pt idx="36">
                  <c:v>CU62</c:v>
                </c:pt>
                <c:pt idx="37">
                  <c:v>CU63</c:v>
                </c:pt>
                <c:pt idx="38">
                  <c:v>Informe</c:v>
                </c:pt>
                <c:pt idx="39">
                  <c:v>Informe</c:v>
                </c:pt>
                <c:pt idx="40">
                  <c:v>Informe</c:v>
                </c:pt>
                <c:pt idx="41">
                  <c:v>Informe</c:v>
                </c:pt>
                <c:pt idx="42">
                  <c:v>Informe</c:v>
                </c:pt>
                <c:pt idx="43">
                  <c:v>Informe</c:v>
                </c:pt>
                <c:pt idx="44">
                  <c:v>Informe</c:v>
                </c:pt>
                <c:pt idx="45">
                  <c:v>Informe</c:v>
                </c:pt>
                <c:pt idx="46">
                  <c:v>Informe</c:v>
                </c:pt>
                <c:pt idx="47">
                  <c:v>Informe</c:v>
                </c:pt>
                <c:pt idx="48">
                  <c:v>Informe</c:v>
                </c:pt>
              </c:strCache>
            </c:strRef>
          </c:cat>
          <c:val>
            <c:numRef>
              <c:f>'HH estimadas vs HH reales'!$B$2:$B$50</c:f>
              <c:numCache>
                <c:formatCode>General</c:formatCode>
                <c:ptCount val="49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7</c:v>
                </c:pt>
                <c:pt idx="22">
                  <c:v>6</c:v>
                </c:pt>
                <c:pt idx="23">
                  <c:v>9</c:v>
                </c:pt>
                <c:pt idx="24">
                  <c:v>7</c:v>
                </c:pt>
                <c:pt idx="25">
                  <c:v>10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9</c:v>
                </c:pt>
                <c:pt idx="37">
                  <c:v>6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11</c:v>
                </c:pt>
                <c:pt idx="42">
                  <c:v>12</c:v>
                </c:pt>
                <c:pt idx="43">
                  <c:v>10</c:v>
                </c:pt>
                <c:pt idx="44">
                  <c:v>11</c:v>
                </c:pt>
                <c:pt idx="45">
                  <c:v>10</c:v>
                </c:pt>
                <c:pt idx="46">
                  <c:v>9</c:v>
                </c:pt>
                <c:pt idx="47">
                  <c:v>11</c:v>
                </c:pt>
                <c:pt idx="4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3-46A1-BA6C-7FF255EFD712}"/>
            </c:ext>
          </c:extLst>
        </c:ser>
        <c:ser>
          <c:idx val="1"/>
          <c:order val="1"/>
          <c:tx>
            <c:strRef>
              <c:f>'HH estimadas vs HH reales'!$C$1</c:f>
              <c:strCache>
                <c:ptCount val="1"/>
                <c:pt idx="0">
                  <c:v>HH reales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'HH estimadas vs HH reales'!$A$2:$A$50</c:f>
              <c:strCache>
                <c:ptCount val="49"/>
                <c:pt idx="0">
                  <c:v>CU15</c:v>
                </c:pt>
                <c:pt idx="1">
                  <c:v>CU16</c:v>
                </c:pt>
                <c:pt idx="2">
                  <c:v>CU17</c:v>
                </c:pt>
                <c:pt idx="3">
                  <c:v>CU18</c:v>
                </c:pt>
                <c:pt idx="4">
                  <c:v>CU19</c:v>
                </c:pt>
                <c:pt idx="5">
                  <c:v>CU20</c:v>
                </c:pt>
                <c:pt idx="6">
                  <c:v>CU21</c:v>
                </c:pt>
                <c:pt idx="7">
                  <c:v>CU22</c:v>
                </c:pt>
                <c:pt idx="8">
                  <c:v>CU23</c:v>
                </c:pt>
                <c:pt idx="9">
                  <c:v>CU24</c:v>
                </c:pt>
                <c:pt idx="10">
                  <c:v>CU27</c:v>
                </c:pt>
                <c:pt idx="11">
                  <c:v>CU28</c:v>
                </c:pt>
                <c:pt idx="12">
                  <c:v>CU29</c:v>
                </c:pt>
                <c:pt idx="13">
                  <c:v>CU30</c:v>
                </c:pt>
                <c:pt idx="14">
                  <c:v>CU32</c:v>
                </c:pt>
                <c:pt idx="15">
                  <c:v>CU33</c:v>
                </c:pt>
                <c:pt idx="16">
                  <c:v>CU34</c:v>
                </c:pt>
                <c:pt idx="17">
                  <c:v>CU35</c:v>
                </c:pt>
                <c:pt idx="18">
                  <c:v>CU36</c:v>
                </c:pt>
                <c:pt idx="19">
                  <c:v>CU38</c:v>
                </c:pt>
                <c:pt idx="20">
                  <c:v>CU39</c:v>
                </c:pt>
                <c:pt idx="21">
                  <c:v>CU41</c:v>
                </c:pt>
                <c:pt idx="22">
                  <c:v>CU42</c:v>
                </c:pt>
                <c:pt idx="23">
                  <c:v>CU43</c:v>
                </c:pt>
                <c:pt idx="24">
                  <c:v>CU44</c:v>
                </c:pt>
                <c:pt idx="25">
                  <c:v>CU46</c:v>
                </c:pt>
                <c:pt idx="26">
                  <c:v>CU47</c:v>
                </c:pt>
                <c:pt idx="27">
                  <c:v>CU48</c:v>
                </c:pt>
                <c:pt idx="28">
                  <c:v>CU49</c:v>
                </c:pt>
                <c:pt idx="29">
                  <c:v>CU50</c:v>
                </c:pt>
                <c:pt idx="30">
                  <c:v>CU51</c:v>
                </c:pt>
                <c:pt idx="31">
                  <c:v>CU52</c:v>
                </c:pt>
                <c:pt idx="32">
                  <c:v>CU53</c:v>
                </c:pt>
                <c:pt idx="33">
                  <c:v>CU54</c:v>
                </c:pt>
                <c:pt idx="34">
                  <c:v>CU56</c:v>
                </c:pt>
                <c:pt idx="35">
                  <c:v>CU58</c:v>
                </c:pt>
                <c:pt idx="36">
                  <c:v>CU62</c:v>
                </c:pt>
                <c:pt idx="37">
                  <c:v>CU63</c:v>
                </c:pt>
                <c:pt idx="38">
                  <c:v>Informe</c:v>
                </c:pt>
                <c:pt idx="39">
                  <c:v>Informe</c:v>
                </c:pt>
                <c:pt idx="40">
                  <c:v>Informe</c:v>
                </c:pt>
                <c:pt idx="41">
                  <c:v>Informe</c:v>
                </c:pt>
                <c:pt idx="42">
                  <c:v>Informe</c:v>
                </c:pt>
                <c:pt idx="43">
                  <c:v>Informe</c:v>
                </c:pt>
                <c:pt idx="44">
                  <c:v>Informe</c:v>
                </c:pt>
                <c:pt idx="45">
                  <c:v>Informe</c:v>
                </c:pt>
                <c:pt idx="46">
                  <c:v>Informe</c:v>
                </c:pt>
                <c:pt idx="47">
                  <c:v>Informe</c:v>
                </c:pt>
                <c:pt idx="48">
                  <c:v>Informe</c:v>
                </c:pt>
              </c:strCache>
            </c:strRef>
          </c:cat>
          <c:val>
            <c:numRef>
              <c:f>'HH estimadas vs HH reales'!$C$2:$C$50</c:f>
              <c:numCache>
                <c:formatCode>General</c:formatCode>
                <c:ptCount val="49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11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9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7</c:v>
                </c:pt>
                <c:pt idx="25">
                  <c:v>11</c:v>
                </c:pt>
                <c:pt idx="26">
                  <c:v>8</c:v>
                </c:pt>
                <c:pt idx="27">
                  <c:v>10</c:v>
                </c:pt>
                <c:pt idx="28">
                  <c:v>7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5</c:v>
                </c:pt>
                <c:pt idx="36">
                  <c:v>9</c:v>
                </c:pt>
                <c:pt idx="37">
                  <c:v>7</c:v>
                </c:pt>
                <c:pt idx="38">
                  <c:v>9</c:v>
                </c:pt>
                <c:pt idx="39">
                  <c:v>6</c:v>
                </c:pt>
                <c:pt idx="40">
                  <c:v>5</c:v>
                </c:pt>
                <c:pt idx="41">
                  <c:v>13</c:v>
                </c:pt>
                <c:pt idx="42">
                  <c:v>14</c:v>
                </c:pt>
                <c:pt idx="43">
                  <c:v>9</c:v>
                </c:pt>
                <c:pt idx="44">
                  <c:v>12</c:v>
                </c:pt>
                <c:pt idx="45">
                  <c:v>12</c:v>
                </c:pt>
                <c:pt idx="46">
                  <c:v>9</c:v>
                </c:pt>
                <c:pt idx="47">
                  <c:v>10</c:v>
                </c:pt>
                <c:pt idx="4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3-46A1-BA6C-7FF255EFD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13424"/>
        <c:axId val="762730224"/>
      </c:lineChart>
      <c:catAx>
        <c:axId val="7627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0224"/>
        <c:crosses val="autoZero"/>
        <c:auto val="1"/>
        <c:lblAlgn val="ctr"/>
        <c:lblOffset val="100"/>
        <c:noMultiLvlLbl val="0"/>
      </c:catAx>
      <c:valAx>
        <c:axId val="7627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752474</xdr:colOff>
      <xdr:row>16</xdr:row>
      <xdr:rowOff>176212</xdr:rowOff>
    </xdr:from>
    <xdr:to>
      <xdr:col>15</xdr:col>
      <xdr:colOff>666749</xdr:colOff>
      <xdr:row>31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86B226-4A2E-AB2E-6ABC-0894DC4B6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757236</xdr:colOff>
      <xdr:row>1</xdr:row>
      <xdr:rowOff>166687</xdr:rowOff>
    </xdr:from>
    <xdr:to>
      <xdr:col>15</xdr:col>
      <xdr:colOff>676275</xdr:colOff>
      <xdr:row>16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CFED17-D1D0-C86D-E8A4-FC5638A74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B5" sqref="B5"/>
    </sheetView>
  </sheetViews>
  <sheetFormatPr baseColWidth="10" defaultColWidth="14.42578125" defaultRowHeight="15" customHeight="1" x14ac:dyDescent="0.25"/>
  <cols>
    <col min="1" max="1" width="9.140625" customWidth="1"/>
    <col min="2" max="2" width="15.85546875" customWidth="1"/>
    <col min="3" max="3" width="63.28515625" customWidth="1"/>
    <col min="4" max="4" width="34" customWidth="1"/>
    <col min="5" max="5" width="10.5703125" customWidth="1"/>
    <col min="6" max="6" width="10.42578125" customWidth="1"/>
    <col min="7" max="7" width="0.28515625" hidden="1" customWidth="1"/>
    <col min="8" max="8" width="22" customWidth="1"/>
    <col min="9" max="9" width="19.7109375" customWidth="1"/>
    <col min="10" max="10" width="16.85546875" customWidth="1"/>
    <col min="11" max="11" width="14.5703125" customWidth="1"/>
    <col min="12" max="12" width="12.85546875" customWidth="1"/>
    <col min="13" max="13" width="11.85546875" customWidth="1"/>
    <col min="14" max="14" width="11.5703125" customWidth="1"/>
    <col min="15" max="26" width="9.140625" customWidth="1"/>
  </cols>
  <sheetData>
    <row r="1" spans="1:14" x14ac:dyDescent="0.25">
      <c r="A1" s="5" t="s">
        <v>0</v>
      </c>
      <c r="B1" s="6"/>
      <c r="C1" s="6"/>
      <c r="D1" s="6"/>
      <c r="E1" s="6"/>
      <c r="F1" s="7"/>
      <c r="G1" s="1"/>
      <c r="H1" s="5" t="s">
        <v>1</v>
      </c>
      <c r="I1" s="7"/>
      <c r="J1" s="5" t="s">
        <v>2</v>
      </c>
      <c r="K1" s="7"/>
      <c r="L1" s="1"/>
      <c r="M1" s="1"/>
      <c r="N1" s="1"/>
    </row>
    <row r="2" spans="1:1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4" x14ac:dyDescent="0.25">
      <c r="A3" s="1" t="s">
        <v>17</v>
      </c>
      <c r="B3" s="1" t="s">
        <v>18</v>
      </c>
      <c r="C3" s="1" t="s">
        <v>19</v>
      </c>
      <c r="D3" s="1" t="s">
        <v>20</v>
      </c>
      <c r="E3" s="1">
        <v>10</v>
      </c>
      <c r="F3" s="1" t="s">
        <v>21</v>
      </c>
      <c r="G3" s="1" t="s">
        <v>22</v>
      </c>
      <c r="H3" s="3">
        <v>45901</v>
      </c>
      <c r="I3" s="3">
        <v>45906</v>
      </c>
      <c r="J3" s="3">
        <v>45901</v>
      </c>
      <c r="K3" s="3">
        <v>45906</v>
      </c>
      <c r="L3" s="1">
        <v>10</v>
      </c>
      <c r="M3" s="1">
        <v>10</v>
      </c>
      <c r="N3" s="1" t="s">
        <v>23</v>
      </c>
    </row>
    <row r="4" spans="1:14" x14ac:dyDescent="0.25">
      <c r="A4" s="1" t="s">
        <v>24</v>
      </c>
      <c r="B4" s="1" t="s">
        <v>18</v>
      </c>
      <c r="C4" s="1" t="s">
        <v>25</v>
      </c>
      <c r="D4" s="1" t="s">
        <v>26</v>
      </c>
      <c r="E4" s="1">
        <v>8</v>
      </c>
      <c r="F4" s="1" t="s">
        <v>21</v>
      </c>
      <c r="G4" s="1" t="s">
        <v>27</v>
      </c>
      <c r="H4" s="3">
        <v>45907</v>
      </c>
      <c r="I4" s="3">
        <v>45911</v>
      </c>
      <c r="J4" s="3">
        <v>45907</v>
      </c>
      <c r="K4" s="3">
        <v>45911</v>
      </c>
      <c r="L4" s="1">
        <v>8</v>
      </c>
      <c r="M4" s="1">
        <v>8</v>
      </c>
      <c r="N4" s="1" t="s">
        <v>23</v>
      </c>
    </row>
    <row r="5" spans="1:14" x14ac:dyDescent="0.25">
      <c r="A5" s="1" t="s">
        <v>28</v>
      </c>
      <c r="B5" s="1" t="s">
        <v>18</v>
      </c>
      <c r="C5" s="1" t="s">
        <v>29</v>
      </c>
      <c r="D5" s="1" t="s">
        <v>20</v>
      </c>
      <c r="E5" s="1">
        <v>8</v>
      </c>
      <c r="F5" s="1" t="s">
        <v>21</v>
      </c>
      <c r="G5" s="1" t="s">
        <v>30</v>
      </c>
      <c r="H5" s="3">
        <v>45912</v>
      </c>
      <c r="I5" s="3">
        <v>45916</v>
      </c>
      <c r="J5" s="3">
        <v>45912</v>
      </c>
      <c r="K5" s="3">
        <v>45916</v>
      </c>
      <c r="L5" s="1">
        <v>8</v>
      </c>
      <c r="M5" s="1">
        <v>7</v>
      </c>
      <c r="N5" s="1" t="s">
        <v>23</v>
      </c>
    </row>
    <row r="6" spans="1:14" x14ac:dyDescent="0.25">
      <c r="A6" s="1" t="s">
        <v>31</v>
      </c>
      <c r="B6" s="1" t="s">
        <v>18</v>
      </c>
      <c r="C6" s="1" t="s">
        <v>32</v>
      </c>
      <c r="D6" s="1" t="s">
        <v>26</v>
      </c>
      <c r="E6" s="1">
        <v>10</v>
      </c>
      <c r="F6" s="1" t="s">
        <v>21</v>
      </c>
      <c r="G6" s="1" t="s">
        <v>33</v>
      </c>
      <c r="H6" s="3">
        <v>45917</v>
      </c>
      <c r="I6" s="3">
        <v>45922</v>
      </c>
      <c r="J6" s="3">
        <v>45917</v>
      </c>
      <c r="K6" s="3">
        <v>45922</v>
      </c>
      <c r="L6" s="1">
        <v>10</v>
      </c>
      <c r="M6" s="1">
        <v>10</v>
      </c>
      <c r="N6" s="1" t="s">
        <v>23</v>
      </c>
    </row>
    <row r="7" spans="1:14" x14ac:dyDescent="0.25">
      <c r="A7" s="1" t="s">
        <v>34</v>
      </c>
      <c r="B7" s="1" t="s">
        <v>18</v>
      </c>
      <c r="C7" s="1" t="s">
        <v>35</v>
      </c>
      <c r="D7" s="1" t="s">
        <v>20</v>
      </c>
      <c r="E7" s="1">
        <v>8</v>
      </c>
      <c r="F7" s="1" t="s">
        <v>21</v>
      </c>
      <c r="G7" s="1" t="s">
        <v>36</v>
      </c>
      <c r="H7" s="3">
        <v>45923</v>
      </c>
      <c r="I7" s="3">
        <v>45927</v>
      </c>
      <c r="J7" s="3">
        <v>45923</v>
      </c>
      <c r="K7" s="3">
        <v>45927</v>
      </c>
      <c r="L7" s="1">
        <v>8</v>
      </c>
      <c r="M7" s="1">
        <v>7</v>
      </c>
      <c r="N7" s="1" t="s">
        <v>23</v>
      </c>
    </row>
    <row r="8" spans="1:14" x14ac:dyDescent="0.25">
      <c r="A8" s="1" t="s">
        <v>37</v>
      </c>
      <c r="B8" s="1" t="s">
        <v>18</v>
      </c>
      <c r="C8" s="1" t="s">
        <v>38</v>
      </c>
      <c r="D8" s="1" t="s">
        <v>26</v>
      </c>
      <c r="E8" s="1">
        <v>8</v>
      </c>
      <c r="F8" s="1" t="s">
        <v>21</v>
      </c>
      <c r="G8" s="1" t="s">
        <v>39</v>
      </c>
      <c r="H8" s="3">
        <v>45928</v>
      </c>
      <c r="I8" s="3">
        <v>45930</v>
      </c>
      <c r="J8" s="3">
        <v>45928</v>
      </c>
      <c r="K8" s="3">
        <v>45930</v>
      </c>
      <c r="L8" s="1">
        <v>8</v>
      </c>
      <c r="M8" s="1">
        <v>8</v>
      </c>
      <c r="N8" s="1" t="s">
        <v>23</v>
      </c>
    </row>
    <row r="9" spans="1:14" x14ac:dyDescent="0.25">
      <c r="A9" s="1" t="s">
        <v>40</v>
      </c>
      <c r="B9" s="1" t="s">
        <v>18</v>
      </c>
      <c r="C9" s="1" t="s">
        <v>41</v>
      </c>
      <c r="D9" s="1" t="s">
        <v>20</v>
      </c>
      <c r="E9" s="1">
        <v>7</v>
      </c>
      <c r="F9" s="1" t="s">
        <v>21</v>
      </c>
      <c r="G9" s="1" t="s">
        <v>42</v>
      </c>
      <c r="H9" s="3">
        <v>45930</v>
      </c>
      <c r="I9" s="3">
        <v>45930</v>
      </c>
      <c r="J9" s="3">
        <v>45930</v>
      </c>
      <c r="K9" s="3">
        <v>45930</v>
      </c>
      <c r="L9" s="1">
        <v>7</v>
      </c>
      <c r="M9" s="1">
        <v>8</v>
      </c>
      <c r="N9" s="1" t="s">
        <v>23</v>
      </c>
    </row>
    <row r="10" spans="1:14" x14ac:dyDescent="0.25">
      <c r="A10" s="1" t="s">
        <v>43</v>
      </c>
      <c r="B10" s="1" t="s">
        <v>18</v>
      </c>
      <c r="C10" s="1" t="s">
        <v>44</v>
      </c>
      <c r="D10" s="1" t="s">
        <v>26</v>
      </c>
      <c r="E10" s="1">
        <v>6</v>
      </c>
      <c r="F10" s="1" t="s">
        <v>21</v>
      </c>
      <c r="G10" s="1" t="s">
        <v>45</v>
      </c>
      <c r="H10" s="3">
        <v>45930</v>
      </c>
      <c r="I10" s="3">
        <v>45930</v>
      </c>
      <c r="J10" s="3">
        <v>45930</v>
      </c>
      <c r="K10" s="3">
        <v>45930</v>
      </c>
      <c r="L10" s="1">
        <v>6</v>
      </c>
      <c r="M10" s="1">
        <v>6</v>
      </c>
      <c r="N10" s="1" t="s">
        <v>23</v>
      </c>
    </row>
    <row r="11" spans="1:14" x14ac:dyDescent="0.25">
      <c r="A11" s="1" t="s">
        <v>46</v>
      </c>
      <c r="B11" s="1" t="s">
        <v>18</v>
      </c>
      <c r="C11" s="1" t="s">
        <v>47</v>
      </c>
      <c r="D11" s="1" t="s">
        <v>20</v>
      </c>
      <c r="E11" s="1">
        <v>10</v>
      </c>
      <c r="F11" s="1" t="s">
        <v>21</v>
      </c>
      <c r="G11" s="1" t="s">
        <v>48</v>
      </c>
      <c r="H11" s="3">
        <v>45930</v>
      </c>
      <c r="I11" s="3">
        <v>45930</v>
      </c>
      <c r="J11" s="3">
        <v>45930</v>
      </c>
      <c r="K11" s="3">
        <v>45930</v>
      </c>
      <c r="L11" s="1">
        <v>10</v>
      </c>
      <c r="M11" s="1">
        <v>11</v>
      </c>
      <c r="N11" s="1" t="s">
        <v>23</v>
      </c>
    </row>
    <row r="12" spans="1:14" x14ac:dyDescent="0.25">
      <c r="A12" s="1" t="s">
        <v>49</v>
      </c>
      <c r="B12" s="1" t="s">
        <v>18</v>
      </c>
      <c r="C12" s="1" t="s">
        <v>50</v>
      </c>
      <c r="D12" s="1" t="s">
        <v>26</v>
      </c>
      <c r="E12" s="1">
        <v>7</v>
      </c>
      <c r="F12" s="1" t="s">
        <v>21</v>
      </c>
      <c r="G12" s="1" t="s">
        <v>51</v>
      </c>
      <c r="H12" s="3">
        <v>45930</v>
      </c>
      <c r="I12" s="3">
        <v>45930</v>
      </c>
      <c r="J12" s="3">
        <v>45930</v>
      </c>
      <c r="K12" s="3">
        <v>45930</v>
      </c>
      <c r="L12" s="1">
        <v>7</v>
      </c>
      <c r="M12" s="1">
        <v>8</v>
      </c>
      <c r="N12" s="1" t="s">
        <v>23</v>
      </c>
    </row>
    <row r="13" spans="1:14" x14ac:dyDescent="0.25">
      <c r="A13" s="1" t="s">
        <v>52</v>
      </c>
      <c r="B13" s="1" t="s">
        <v>18</v>
      </c>
      <c r="C13" s="1" t="s">
        <v>53</v>
      </c>
      <c r="D13" s="1" t="s">
        <v>20</v>
      </c>
      <c r="E13" s="1">
        <v>8</v>
      </c>
      <c r="F13" s="1" t="s">
        <v>21</v>
      </c>
      <c r="G13" s="1" t="s">
        <v>54</v>
      </c>
      <c r="H13" s="3">
        <v>45930</v>
      </c>
      <c r="I13" s="3">
        <v>45930</v>
      </c>
      <c r="J13" s="3">
        <v>45930</v>
      </c>
      <c r="K13" s="3">
        <v>45930</v>
      </c>
      <c r="L13" s="1">
        <v>8</v>
      </c>
      <c r="M13" s="1">
        <v>8</v>
      </c>
      <c r="N13" s="1" t="s">
        <v>23</v>
      </c>
    </row>
    <row r="14" spans="1:14" x14ac:dyDescent="0.25">
      <c r="A14" s="1" t="s">
        <v>55</v>
      </c>
      <c r="B14" s="1" t="s">
        <v>18</v>
      </c>
      <c r="C14" s="1" t="s">
        <v>56</v>
      </c>
      <c r="D14" s="1" t="s">
        <v>26</v>
      </c>
      <c r="E14" s="1">
        <v>6</v>
      </c>
      <c r="F14" s="1" t="s">
        <v>21</v>
      </c>
      <c r="G14" s="1" t="s">
        <v>57</v>
      </c>
      <c r="H14" s="3">
        <v>45930</v>
      </c>
      <c r="I14" s="3">
        <v>45930</v>
      </c>
      <c r="J14" s="3">
        <v>45930</v>
      </c>
      <c r="K14" s="3">
        <v>45930</v>
      </c>
      <c r="L14" s="1">
        <v>6</v>
      </c>
      <c r="M14" s="1">
        <v>6</v>
      </c>
      <c r="N14" s="1" t="s">
        <v>23</v>
      </c>
    </row>
    <row r="15" spans="1:14" x14ac:dyDescent="0.25">
      <c r="A15" s="1" t="s">
        <v>58</v>
      </c>
      <c r="B15" s="1" t="s">
        <v>18</v>
      </c>
      <c r="C15" s="1" t="s">
        <v>59</v>
      </c>
      <c r="D15" s="1" t="s">
        <v>20</v>
      </c>
      <c r="E15" s="1">
        <v>7</v>
      </c>
      <c r="F15" s="1" t="s">
        <v>21</v>
      </c>
      <c r="G15" s="1" t="s">
        <v>60</v>
      </c>
      <c r="H15" s="3">
        <v>45930</v>
      </c>
      <c r="I15" s="3">
        <v>45930</v>
      </c>
      <c r="J15" s="3">
        <v>45930</v>
      </c>
      <c r="K15" s="3">
        <v>45930</v>
      </c>
      <c r="L15" s="1">
        <v>7</v>
      </c>
      <c r="M15" s="1">
        <v>7</v>
      </c>
      <c r="N15" s="1" t="s">
        <v>23</v>
      </c>
    </row>
    <row r="16" spans="1:14" x14ac:dyDescent="0.25">
      <c r="A16" s="1" t="s">
        <v>61</v>
      </c>
      <c r="B16" s="1" t="s">
        <v>18</v>
      </c>
      <c r="C16" s="1" t="s">
        <v>62</v>
      </c>
      <c r="D16" s="1" t="s">
        <v>26</v>
      </c>
      <c r="E16" s="1">
        <v>9</v>
      </c>
      <c r="F16" s="1" t="s">
        <v>21</v>
      </c>
      <c r="G16" s="1" t="s">
        <v>63</v>
      </c>
      <c r="H16" s="3">
        <v>45930</v>
      </c>
      <c r="I16" s="3">
        <v>45930</v>
      </c>
      <c r="J16" s="3">
        <v>45930</v>
      </c>
      <c r="K16" s="3">
        <v>45930</v>
      </c>
      <c r="L16" s="1">
        <v>9</v>
      </c>
      <c r="M16" s="1">
        <v>8</v>
      </c>
      <c r="N16" s="1" t="s">
        <v>23</v>
      </c>
    </row>
    <row r="17" spans="1:14" x14ac:dyDescent="0.25">
      <c r="A17" s="1" t="s">
        <v>64</v>
      </c>
      <c r="B17" s="1" t="s">
        <v>18</v>
      </c>
      <c r="C17" s="1" t="s">
        <v>65</v>
      </c>
      <c r="D17" s="1" t="s">
        <v>20</v>
      </c>
      <c r="E17" s="1">
        <v>8</v>
      </c>
      <c r="F17" s="1" t="s">
        <v>21</v>
      </c>
      <c r="G17" s="1" t="s">
        <v>66</v>
      </c>
      <c r="H17" s="3">
        <v>45930</v>
      </c>
      <c r="I17" s="3">
        <v>45930</v>
      </c>
      <c r="J17" s="3">
        <v>45930</v>
      </c>
      <c r="K17" s="3">
        <v>45930</v>
      </c>
      <c r="L17" s="1">
        <v>8</v>
      </c>
      <c r="M17" s="1">
        <v>8</v>
      </c>
      <c r="N17" s="1" t="s">
        <v>23</v>
      </c>
    </row>
    <row r="18" spans="1:14" x14ac:dyDescent="0.25">
      <c r="A18" s="1" t="s">
        <v>67</v>
      </c>
      <c r="B18" s="1" t="s">
        <v>18</v>
      </c>
      <c r="C18" s="1" t="s">
        <v>68</v>
      </c>
      <c r="D18" s="1" t="s">
        <v>26</v>
      </c>
      <c r="E18" s="1">
        <v>7</v>
      </c>
      <c r="F18" s="1" t="s">
        <v>21</v>
      </c>
      <c r="G18" s="1" t="s">
        <v>69</v>
      </c>
      <c r="H18" s="3">
        <v>45930</v>
      </c>
      <c r="I18" s="3">
        <v>45930</v>
      </c>
      <c r="J18" s="3">
        <v>45930</v>
      </c>
      <c r="K18" s="3">
        <v>45930</v>
      </c>
      <c r="L18" s="1">
        <v>7</v>
      </c>
      <c r="M18" s="1">
        <v>6</v>
      </c>
      <c r="N18" s="1" t="s">
        <v>23</v>
      </c>
    </row>
    <row r="19" spans="1:14" x14ac:dyDescent="0.25">
      <c r="A19" s="1" t="s">
        <v>70</v>
      </c>
      <c r="B19" s="1" t="s">
        <v>18</v>
      </c>
      <c r="C19" s="1" t="s">
        <v>71</v>
      </c>
      <c r="D19" s="1" t="s">
        <v>20</v>
      </c>
      <c r="E19" s="1">
        <v>6</v>
      </c>
      <c r="F19" s="1" t="s">
        <v>21</v>
      </c>
      <c r="G19" s="1" t="s">
        <v>72</v>
      </c>
      <c r="H19" s="3">
        <v>45930</v>
      </c>
      <c r="I19" s="3">
        <v>45930</v>
      </c>
      <c r="J19" s="3">
        <v>45930</v>
      </c>
      <c r="K19" s="3">
        <v>45930</v>
      </c>
      <c r="L19" s="1">
        <v>6</v>
      </c>
      <c r="M19" s="1">
        <v>6</v>
      </c>
      <c r="N19" s="1" t="s">
        <v>23</v>
      </c>
    </row>
    <row r="20" spans="1:14" x14ac:dyDescent="0.25">
      <c r="A20" s="1" t="s">
        <v>73</v>
      </c>
      <c r="B20" s="1" t="s">
        <v>18</v>
      </c>
      <c r="C20" s="1" t="s">
        <v>74</v>
      </c>
      <c r="D20" s="1" t="s">
        <v>26</v>
      </c>
      <c r="E20" s="1">
        <v>7</v>
      </c>
      <c r="F20" s="1" t="s">
        <v>21</v>
      </c>
      <c r="G20" s="1" t="s">
        <v>75</v>
      </c>
      <c r="H20" s="3">
        <v>45930</v>
      </c>
      <c r="I20" s="3">
        <v>45930</v>
      </c>
      <c r="J20" s="3">
        <v>45930</v>
      </c>
      <c r="K20" s="3">
        <v>45930</v>
      </c>
      <c r="L20" s="1">
        <v>7</v>
      </c>
      <c r="M20" s="1">
        <v>8</v>
      </c>
      <c r="N20" s="1" t="s">
        <v>23</v>
      </c>
    </row>
    <row r="21" spans="1:14" ht="15.75" customHeight="1" x14ac:dyDescent="0.25">
      <c r="A21" s="1" t="s">
        <v>76</v>
      </c>
      <c r="B21" s="1" t="s">
        <v>18</v>
      </c>
      <c r="C21" s="1" t="s">
        <v>77</v>
      </c>
      <c r="D21" s="1" t="s">
        <v>78</v>
      </c>
      <c r="E21" s="1">
        <v>7</v>
      </c>
      <c r="F21" s="1" t="s">
        <v>21</v>
      </c>
      <c r="G21" s="1" t="s">
        <v>79</v>
      </c>
      <c r="H21" s="3">
        <v>45930</v>
      </c>
      <c r="I21" s="3">
        <v>45930</v>
      </c>
      <c r="J21" s="3">
        <v>45930</v>
      </c>
      <c r="K21" s="3">
        <v>45930</v>
      </c>
      <c r="L21" s="1">
        <v>7</v>
      </c>
      <c r="M21" s="1">
        <v>6</v>
      </c>
      <c r="N21" s="1" t="s">
        <v>23</v>
      </c>
    </row>
    <row r="22" spans="1:14" ht="15.75" customHeight="1" x14ac:dyDescent="0.25">
      <c r="A22" s="1" t="s">
        <v>80</v>
      </c>
      <c r="B22" s="1" t="s">
        <v>18</v>
      </c>
      <c r="C22" s="1" t="s">
        <v>81</v>
      </c>
      <c r="D22" s="1" t="s">
        <v>26</v>
      </c>
      <c r="E22" s="1">
        <v>6</v>
      </c>
      <c r="F22" s="1" t="s">
        <v>21</v>
      </c>
      <c r="G22" s="1" t="s">
        <v>82</v>
      </c>
      <c r="H22" s="3">
        <v>45930</v>
      </c>
      <c r="I22" s="3">
        <v>45930</v>
      </c>
      <c r="J22" s="3">
        <v>45930</v>
      </c>
      <c r="K22" s="3">
        <v>45930</v>
      </c>
      <c r="L22" s="1">
        <v>6</v>
      </c>
      <c r="M22" s="1">
        <v>7</v>
      </c>
      <c r="N22" s="1" t="s">
        <v>23</v>
      </c>
    </row>
    <row r="23" spans="1:14" ht="15.75" customHeight="1" x14ac:dyDescent="0.25">
      <c r="A23" s="1" t="s">
        <v>83</v>
      </c>
      <c r="B23" s="1" t="s">
        <v>18</v>
      </c>
      <c r="C23" s="1" t="s">
        <v>84</v>
      </c>
      <c r="D23" s="1" t="s">
        <v>20</v>
      </c>
      <c r="E23" s="1">
        <v>9</v>
      </c>
      <c r="F23" s="1" t="s">
        <v>21</v>
      </c>
      <c r="G23" s="1" t="s">
        <v>85</v>
      </c>
      <c r="H23" s="3">
        <v>45930</v>
      </c>
      <c r="I23" s="3">
        <v>45930</v>
      </c>
      <c r="J23" s="3">
        <v>45930</v>
      </c>
      <c r="K23" s="3">
        <v>45930</v>
      </c>
      <c r="L23" s="1">
        <v>9</v>
      </c>
      <c r="M23" s="1">
        <v>9</v>
      </c>
      <c r="N23" s="1" t="s">
        <v>23</v>
      </c>
    </row>
    <row r="24" spans="1:14" ht="15.75" customHeight="1" x14ac:dyDescent="0.25">
      <c r="A24" s="1" t="s">
        <v>86</v>
      </c>
      <c r="B24" s="1" t="s">
        <v>18</v>
      </c>
      <c r="C24" s="1" t="s">
        <v>87</v>
      </c>
      <c r="D24" s="1" t="s">
        <v>26</v>
      </c>
      <c r="E24" s="1">
        <v>7</v>
      </c>
      <c r="F24" s="1" t="s">
        <v>21</v>
      </c>
      <c r="G24" s="1" t="s">
        <v>88</v>
      </c>
      <c r="H24" s="3">
        <v>45930</v>
      </c>
      <c r="I24" s="3">
        <v>45930</v>
      </c>
      <c r="J24" s="3">
        <v>45930</v>
      </c>
      <c r="K24" s="3">
        <v>45930</v>
      </c>
      <c r="L24" s="1">
        <v>7</v>
      </c>
      <c r="M24" s="1">
        <v>6</v>
      </c>
      <c r="N24" s="1" t="s">
        <v>23</v>
      </c>
    </row>
    <row r="25" spans="1:14" ht="15.75" customHeight="1" x14ac:dyDescent="0.25">
      <c r="A25" s="1" t="s">
        <v>89</v>
      </c>
      <c r="B25" s="1" t="s">
        <v>18</v>
      </c>
      <c r="C25" s="1" t="s">
        <v>90</v>
      </c>
      <c r="D25" s="1" t="s">
        <v>20</v>
      </c>
      <c r="E25" s="1">
        <v>6</v>
      </c>
      <c r="F25" s="1" t="s">
        <v>21</v>
      </c>
      <c r="G25" s="1" t="s">
        <v>91</v>
      </c>
      <c r="H25" s="3">
        <v>45930</v>
      </c>
      <c r="I25" s="3">
        <v>45930</v>
      </c>
      <c r="J25" s="3">
        <v>45930</v>
      </c>
      <c r="K25" s="3">
        <v>45930</v>
      </c>
      <c r="L25" s="1">
        <v>6</v>
      </c>
      <c r="M25" s="1">
        <v>6</v>
      </c>
      <c r="N25" s="1" t="s">
        <v>23</v>
      </c>
    </row>
    <row r="26" spans="1:14" ht="15.75" customHeight="1" x14ac:dyDescent="0.25">
      <c r="A26" s="1" t="s">
        <v>92</v>
      </c>
      <c r="B26" s="1" t="s">
        <v>18</v>
      </c>
      <c r="C26" s="1" t="s">
        <v>93</v>
      </c>
      <c r="D26" s="1" t="s">
        <v>26</v>
      </c>
      <c r="E26" s="1">
        <v>9</v>
      </c>
      <c r="F26" s="1" t="s">
        <v>21</v>
      </c>
      <c r="G26" s="1" t="s">
        <v>94</v>
      </c>
      <c r="H26" s="3">
        <v>45930</v>
      </c>
      <c r="I26" s="3">
        <v>45930</v>
      </c>
      <c r="J26" s="3">
        <v>45930</v>
      </c>
      <c r="K26" s="3">
        <v>45930</v>
      </c>
      <c r="L26" s="1">
        <v>9</v>
      </c>
      <c r="M26" s="1">
        <v>8</v>
      </c>
      <c r="N26" s="1" t="s">
        <v>23</v>
      </c>
    </row>
    <row r="27" spans="1:14" ht="15.75" customHeight="1" x14ac:dyDescent="0.25">
      <c r="A27" s="1" t="s">
        <v>95</v>
      </c>
      <c r="B27" s="1" t="s">
        <v>18</v>
      </c>
      <c r="C27" s="1" t="s">
        <v>96</v>
      </c>
      <c r="D27" s="1" t="s">
        <v>20</v>
      </c>
      <c r="E27" s="1">
        <v>7</v>
      </c>
      <c r="F27" s="1" t="s">
        <v>21</v>
      </c>
      <c r="G27" s="1" t="s">
        <v>97</v>
      </c>
      <c r="H27" s="3">
        <v>45930</v>
      </c>
      <c r="I27" s="3">
        <v>45930</v>
      </c>
      <c r="J27" s="3">
        <v>45930</v>
      </c>
      <c r="K27" s="3">
        <v>45930</v>
      </c>
      <c r="L27" s="1">
        <v>7</v>
      </c>
      <c r="M27" s="1">
        <v>7</v>
      </c>
      <c r="N27" s="1" t="s">
        <v>23</v>
      </c>
    </row>
    <row r="28" spans="1:14" ht="15.75" customHeight="1" x14ac:dyDescent="0.25">
      <c r="A28" s="1" t="s">
        <v>98</v>
      </c>
      <c r="B28" s="1" t="s">
        <v>18</v>
      </c>
      <c r="C28" s="1" t="s">
        <v>99</v>
      </c>
      <c r="D28" s="1" t="s">
        <v>26</v>
      </c>
      <c r="E28" s="1">
        <v>10</v>
      </c>
      <c r="F28" s="1" t="s">
        <v>21</v>
      </c>
      <c r="G28" s="1" t="s">
        <v>100</v>
      </c>
      <c r="H28" s="3">
        <v>45930</v>
      </c>
      <c r="I28" s="3">
        <v>45930</v>
      </c>
      <c r="J28" s="3">
        <v>45930</v>
      </c>
      <c r="K28" s="3">
        <v>45930</v>
      </c>
      <c r="L28" s="1">
        <v>10</v>
      </c>
      <c r="M28" s="1">
        <v>11</v>
      </c>
      <c r="N28" s="1" t="s">
        <v>23</v>
      </c>
    </row>
    <row r="29" spans="1:14" ht="15.75" customHeight="1" x14ac:dyDescent="0.25">
      <c r="A29" s="1" t="s">
        <v>101</v>
      </c>
      <c r="B29" s="1" t="s">
        <v>18</v>
      </c>
      <c r="C29" s="1" t="s">
        <v>102</v>
      </c>
      <c r="D29" s="1" t="s">
        <v>20</v>
      </c>
      <c r="E29" s="1">
        <v>7</v>
      </c>
      <c r="F29" s="1" t="s">
        <v>21</v>
      </c>
      <c r="G29" s="1" t="s">
        <v>103</v>
      </c>
      <c r="H29" s="3">
        <v>45930</v>
      </c>
      <c r="I29" s="3">
        <v>45930</v>
      </c>
      <c r="J29" s="3">
        <v>45930</v>
      </c>
      <c r="K29" s="3">
        <v>45930</v>
      </c>
      <c r="L29" s="1">
        <v>7</v>
      </c>
      <c r="M29" s="1">
        <v>8</v>
      </c>
      <c r="N29" s="1" t="s">
        <v>23</v>
      </c>
    </row>
    <row r="30" spans="1:14" ht="15.75" customHeight="1" x14ac:dyDescent="0.25">
      <c r="A30" s="1" t="s">
        <v>104</v>
      </c>
      <c r="B30" s="1" t="s">
        <v>18</v>
      </c>
      <c r="C30" s="1" t="s">
        <v>105</v>
      </c>
      <c r="D30" s="1" t="s">
        <v>26</v>
      </c>
      <c r="E30" s="1">
        <v>9</v>
      </c>
      <c r="F30" s="1" t="s">
        <v>21</v>
      </c>
      <c r="G30" s="1" t="s">
        <v>106</v>
      </c>
      <c r="H30" s="3">
        <v>45930</v>
      </c>
      <c r="I30" s="3">
        <v>45930</v>
      </c>
      <c r="J30" s="3">
        <v>45930</v>
      </c>
      <c r="K30" s="3">
        <v>45930</v>
      </c>
      <c r="L30" s="1">
        <v>9</v>
      </c>
      <c r="M30" s="1">
        <v>10</v>
      </c>
      <c r="N30" s="1" t="s">
        <v>23</v>
      </c>
    </row>
    <row r="31" spans="1:14" ht="15.75" customHeight="1" x14ac:dyDescent="0.25">
      <c r="A31" s="1" t="s">
        <v>107</v>
      </c>
      <c r="B31" s="1" t="s">
        <v>18</v>
      </c>
      <c r="C31" s="1" t="s">
        <v>108</v>
      </c>
      <c r="D31" s="1" t="s">
        <v>20</v>
      </c>
      <c r="E31" s="1">
        <v>8</v>
      </c>
      <c r="F31" s="1" t="s">
        <v>21</v>
      </c>
      <c r="G31" s="1" t="s">
        <v>109</v>
      </c>
      <c r="H31" s="3">
        <v>45930</v>
      </c>
      <c r="I31" s="3">
        <v>45930</v>
      </c>
      <c r="J31" s="3">
        <v>45930</v>
      </c>
      <c r="K31" s="3">
        <v>45930</v>
      </c>
      <c r="L31" s="1">
        <v>8</v>
      </c>
      <c r="M31" s="1">
        <v>7</v>
      </c>
      <c r="N31" s="1" t="s">
        <v>23</v>
      </c>
    </row>
    <row r="32" spans="1:14" ht="15.75" customHeight="1" x14ac:dyDescent="0.25">
      <c r="A32" s="1" t="s">
        <v>110</v>
      </c>
      <c r="B32" s="1" t="s">
        <v>18</v>
      </c>
      <c r="C32" s="1" t="s">
        <v>111</v>
      </c>
      <c r="D32" s="1" t="s">
        <v>26</v>
      </c>
      <c r="E32" s="1">
        <v>7</v>
      </c>
      <c r="F32" s="1" t="s">
        <v>21</v>
      </c>
      <c r="G32" s="1" t="s">
        <v>112</v>
      </c>
      <c r="H32" s="3">
        <v>45930</v>
      </c>
      <c r="I32" s="3">
        <v>45930</v>
      </c>
      <c r="J32" s="3">
        <v>45930</v>
      </c>
      <c r="K32" s="3">
        <v>45930</v>
      </c>
      <c r="L32" s="1">
        <v>7</v>
      </c>
      <c r="M32" s="1">
        <v>6</v>
      </c>
      <c r="N32" s="1" t="s">
        <v>23</v>
      </c>
    </row>
    <row r="33" spans="1:14" ht="15.75" customHeight="1" x14ac:dyDescent="0.25">
      <c r="A33" s="1" t="s">
        <v>113</v>
      </c>
      <c r="B33" s="1" t="s">
        <v>18</v>
      </c>
      <c r="C33" s="1" t="s">
        <v>114</v>
      </c>
      <c r="D33" s="1" t="s">
        <v>20</v>
      </c>
      <c r="E33" s="1">
        <v>7</v>
      </c>
      <c r="F33" s="1" t="s">
        <v>21</v>
      </c>
      <c r="G33" s="1" t="s">
        <v>115</v>
      </c>
      <c r="H33" s="3">
        <v>45930</v>
      </c>
      <c r="I33" s="3">
        <v>45930</v>
      </c>
      <c r="J33" s="3">
        <v>45930</v>
      </c>
      <c r="K33" s="3">
        <v>45930</v>
      </c>
      <c r="L33" s="1">
        <v>7</v>
      </c>
      <c r="M33" s="1">
        <v>7</v>
      </c>
      <c r="N33" s="1" t="s">
        <v>23</v>
      </c>
    </row>
    <row r="34" spans="1:14" ht="15.75" customHeight="1" x14ac:dyDescent="0.25">
      <c r="A34" s="1" t="s">
        <v>116</v>
      </c>
      <c r="B34" s="1" t="s">
        <v>18</v>
      </c>
      <c r="C34" s="1" t="s">
        <v>117</v>
      </c>
      <c r="D34" s="1" t="s">
        <v>26</v>
      </c>
      <c r="E34" s="1">
        <v>6</v>
      </c>
      <c r="F34" s="1" t="s">
        <v>21</v>
      </c>
      <c r="G34" s="1" t="s">
        <v>118</v>
      </c>
      <c r="H34" s="3">
        <v>45930</v>
      </c>
      <c r="I34" s="3">
        <v>45930</v>
      </c>
      <c r="J34" s="3">
        <v>45930</v>
      </c>
      <c r="K34" s="3">
        <v>45930</v>
      </c>
      <c r="L34" s="1">
        <v>6</v>
      </c>
      <c r="M34" s="1">
        <v>6</v>
      </c>
      <c r="N34" s="1" t="s">
        <v>23</v>
      </c>
    </row>
    <row r="35" spans="1:14" ht="15.75" customHeight="1" x14ac:dyDescent="0.25">
      <c r="A35" s="1" t="s">
        <v>119</v>
      </c>
      <c r="B35" s="1" t="s">
        <v>18</v>
      </c>
      <c r="C35" s="1" t="s">
        <v>120</v>
      </c>
      <c r="D35" s="1" t="s">
        <v>20</v>
      </c>
      <c r="E35" s="1">
        <v>7</v>
      </c>
      <c r="F35" s="1" t="s">
        <v>21</v>
      </c>
      <c r="G35" s="1" t="s">
        <v>121</v>
      </c>
      <c r="H35" s="3">
        <v>45930</v>
      </c>
      <c r="I35" s="3">
        <v>45930</v>
      </c>
      <c r="J35" s="3">
        <v>45930</v>
      </c>
      <c r="K35" s="3">
        <v>45930</v>
      </c>
      <c r="L35" s="1">
        <v>7</v>
      </c>
      <c r="M35" s="1">
        <v>7</v>
      </c>
      <c r="N35" s="1" t="s">
        <v>23</v>
      </c>
    </row>
    <row r="36" spans="1:14" ht="15.75" customHeight="1" x14ac:dyDescent="0.25">
      <c r="A36" s="1" t="s">
        <v>122</v>
      </c>
      <c r="B36" s="1" t="s">
        <v>18</v>
      </c>
      <c r="C36" s="1" t="s">
        <v>123</v>
      </c>
      <c r="D36" s="1" t="s">
        <v>26</v>
      </c>
      <c r="E36" s="1">
        <v>6</v>
      </c>
      <c r="F36" s="1" t="s">
        <v>21</v>
      </c>
      <c r="G36" s="1" t="s">
        <v>124</v>
      </c>
      <c r="H36" s="3">
        <v>45930</v>
      </c>
      <c r="I36" s="3">
        <v>45930</v>
      </c>
      <c r="J36" s="3">
        <v>45930</v>
      </c>
      <c r="K36" s="3">
        <v>45930</v>
      </c>
      <c r="L36" s="1">
        <v>6</v>
      </c>
      <c r="M36" s="1">
        <v>7</v>
      </c>
      <c r="N36" s="1" t="s">
        <v>23</v>
      </c>
    </row>
    <row r="37" spans="1:14" ht="15.75" customHeight="1" x14ac:dyDescent="0.25">
      <c r="A37" s="1" t="s">
        <v>125</v>
      </c>
      <c r="B37" s="1" t="s">
        <v>18</v>
      </c>
      <c r="C37" s="1" t="s">
        <v>126</v>
      </c>
      <c r="D37" s="1" t="s">
        <v>20</v>
      </c>
      <c r="E37" s="1">
        <v>7</v>
      </c>
      <c r="F37" s="1" t="s">
        <v>21</v>
      </c>
      <c r="G37" s="1" t="s">
        <v>127</v>
      </c>
      <c r="H37" s="3">
        <v>45930</v>
      </c>
      <c r="I37" s="3">
        <v>45930</v>
      </c>
      <c r="J37" s="3">
        <v>45930</v>
      </c>
      <c r="K37" s="3">
        <v>45930</v>
      </c>
      <c r="L37" s="1">
        <v>7</v>
      </c>
      <c r="M37" s="1">
        <v>8</v>
      </c>
      <c r="N37" s="1" t="s">
        <v>23</v>
      </c>
    </row>
    <row r="38" spans="1:14" ht="15.75" customHeight="1" x14ac:dyDescent="0.25">
      <c r="A38" s="1" t="s">
        <v>128</v>
      </c>
      <c r="B38" s="1" t="s">
        <v>18</v>
      </c>
      <c r="C38" s="1" t="s">
        <v>129</v>
      </c>
      <c r="D38" s="1" t="s">
        <v>26</v>
      </c>
      <c r="E38" s="1">
        <v>6</v>
      </c>
      <c r="F38" s="1" t="s">
        <v>21</v>
      </c>
      <c r="G38" s="1" t="s">
        <v>130</v>
      </c>
      <c r="H38" s="3">
        <v>45930</v>
      </c>
      <c r="I38" s="3">
        <v>45930</v>
      </c>
      <c r="J38" s="3">
        <v>45930</v>
      </c>
      <c r="K38" s="3">
        <v>45930</v>
      </c>
      <c r="L38" s="1">
        <v>6</v>
      </c>
      <c r="M38" s="1">
        <v>5</v>
      </c>
      <c r="N38" s="1" t="s">
        <v>23</v>
      </c>
    </row>
    <row r="39" spans="1:14" ht="15.75" customHeight="1" x14ac:dyDescent="0.25">
      <c r="A39" s="1" t="s">
        <v>131</v>
      </c>
      <c r="B39" s="1" t="s">
        <v>18</v>
      </c>
      <c r="C39" s="1" t="s">
        <v>132</v>
      </c>
      <c r="D39" s="1" t="s">
        <v>20</v>
      </c>
      <c r="E39" s="1">
        <v>9</v>
      </c>
      <c r="F39" s="1" t="s">
        <v>21</v>
      </c>
      <c r="G39" s="1" t="s">
        <v>133</v>
      </c>
      <c r="H39" s="3">
        <v>45930</v>
      </c>
      <c r="I39" s="3">
        <v>45930</v>
      </c>
      <c r="J39" s="3">
        <v>45930</v>
      </c>
      <c r="K39" s="3">
        <v>45930</v>
      </c>
      <c r="L39" s="1">
        <v>9</v>
      </c>
      <c r="M39" s="1">
        <v>9</v>
      </c>
      <c r="N39" s="1" t="s">
        <v>23</v>
      </c>
    </row>
    <row r="40" spans="1:14" ht="15.75" customHeight="1" x14ac:dyDescent="0.25">
      <c r="A40" s="1" t="s">
        <v>134</v>
      </c>
      <c r="B40" s="1" t="s">
        <v>18</v>
      </c>
      <c r="C40" s="1" t="s">
        <v>135</v>
      </c>
      <c r="D40" s="1" t="s">
        <v>26</v>
      </c>
      <c r="E40" s="1">
        <v>6</v>
      </c>
      <c r="F40" s="1" t="s">
        <v>21</v>
      </c>
      <c r="G40" s="1" t="s">
        <v>136</v>
      </c>
      <c r="H40" s="3">
        <v>45930</v>
      </c>
      <c r="I40" s="3">
        <v>45930</v>
      </c>
      <c r="J40" s="3">
        <v>45930</v>
      </c>
      <c r="K40" s="3">
        <v>45930</v>
      </c>
      <c r="L40" s="1">
        <v>6</v>
      </c>
      <c r="M40" s="1">
        <v>7</v>
      </c>
      <c r="N40" s="1" t="s">
        <v>23</v>
      </c>
    </row>
    <row r="41" spans="1:14" ht="15.75" customHeight="1" x14ac:dyDescent="0.25">
      <c r="A41" s="1" t="s">
        <v>137</v>
      </c>
      <c r="B41" s="1" t="s">
        <v>138</v>
      </c>
      <c r="C41" s="1" t="s">
        <v>139</v>
      </c>
      <c r="D41" s="1" t="s">
        <v>140</v>
      </c>
      <c r="E41" s="1">
        <v>8</v>
      </c>
      <c r="F41" s="1" t="s">
        <v>21</v>
      </c>
      <c r="G41" s="1" t="s">
        <v>141</v>
      </c>
      <c r="H41" s="3">
        <v>45930</v>
      </c>
      <c r="I41" s="3">
        <v>45930</v>
      </c>
      <c r="J41" s="3">
        <v>45930</v>
      </c>
      <c r="K41" s="3">
        <v>45930</v>
      </c>
      <c r="L41" s="1">
        <v>8</v>
      </c>
      <c r="M41" s="1">
        <v>9</v>
      </c>
      <c r="N41" s="1" t="s">
        <v>23</v>
      </c>
    </row>
    <row r="42" spans="1:14" ht="15.75" customHeight="1" x14ac:dyDescent="0.25">
      <c r="A42" s="1" t="s">
        <v>137</v>
      </c>
      <c r="B42" s="1" t="s">
        <v>138</v>
      </c>
      <c r="C42" s="1" t="s">
        <v>142</v>
      </c>
      <c r="D42" s="1" t="s">
        <v>78</v>
      </c>
      <c r="E42" s="1">
        <v>8</v>
      </c>
      <c r="F42" s="1" t="s">
        <v>21</v>
      </c>
      <c r="G42" s="1" t="s">
        <v>141</v>
      </c>
      <c r="H42" s="3">
        <v>45930</v>
      </c>
      <c r="I42" s="3">
        <v>45930</v>
      </c>
      <c r="J42" s="3">
        <v>45930</v>
      </c>
      <c r="K42" s="3">
        <v>45930</v>
      </c>
      <c r="L42" s="1">
        <v>8</v>
      </c>
      <c r="M42" s="1">
        <v>6</v>
      </c>
      <c r="N42" s="1" t="s">
        <v>23</v>
      </c>
    </row>
    <row r="43" spans="1:14" ht="15.75" customHeight="1" x14ac:dyDescent="0.25">
      <c r="A43" s="1" t="s">
        <v>137</v>
      </c>
      <c r="B43" s="1" t="s">
        <v>138</v>
      </c>
      <c r="C43" s="1" t="s">
        <v>143</v>
      </c>
      <c r="D43" s="1" t="s">
        <v>144</v>
      </c>
      <c r="E43" s="1">
        <v>7</v>
      </c>
      <c r="F43" s="1" t="s">
        <v>21</v>
      </c>
      <c r="G43" s="1" t="s">
        <v>141</v>
      </c>
      <c r="H43" s="3">
        <v>45930</v>
      </c>
      <c r="I43" s="3">
        <v>45930</v>
      </c>
      <c r="J43" s="3">
        <v>45930</v>
      </c>
      <c r="K43" s="3">
        <v>45930</v>
      </c>
      <c r="L43" s="1">
        <v>7</v>
      </c>
      <c r="M43" s="1">
        <v>5</v>
      </c>
      <c r="N43" s="1" t="s">
        <v>23</v>
      </c>
    </row>
    <row r="44" spans="1:14" ht="15.75" customHeight="1" x14ac:dyDescent="0.25">
      <c r="A44" s="1" t="s">
        <v>137</v>
      </c>
      <c r="B44" s="1" t="s">
        <v>138</v>
      </c>
      <c r="C44" s="1" t="s">
        <v>145</v>
      </c>
      <c r="D44" s="1" t="s">
        <v>140</v>
      </c>
      <c r="E44" s="1">
        <v>11</v>
      </c>
      <c r="F44" s="1" t="s">
        <v>21</v>
      </c>
      <c r="G44" s="1" t="s">
        <v>141</v>
      </c>
      <c r="H44" s="3">
        <v>45930</v>
      </c>
      <c r="I44" s="3">
        <v>45930</v>
      </c>
      <c r="J44" s="3">
        <v>45930</v>
      </c>
      <c r="K44" s="3">
        <v>45930</v>
      </c>
      <c r="L44" s="1">
        <v>11</v>
      </c>
      <c r="M44" s="1">
        <v>13</v>
      </c>
      <c r="N44" s="1" t="s">
        <v>23</v>
      </c>
    </row>
    <row r="45" spans="1:14" ht="15.75" customHeight="1" x14ac:dyDescent="0.25">
      <c r="A45" s="1" t="s">
        <v>137</v>
      </c>
      <c r="B45" s="1" t="s">
        <v>138</v>
      </c>
      <c r="C45" s="1" t="s">
        <v>146</v>
      </c>
      <c r="D45" s="1" t="s">
        <v>140</v>
      </c>
      <c r="E45" s="1">
        <v>12</v>
      </c>
      <c r="F45" s="1" t="s">
        <v>21</v>
      </c>
      <c r="G45" s="1" t="s">
        <v>141</v>
      </c>
      <c r="H45" s="3">
        <v>45930</v>
      </c>
      <c r="I45" s="3">
        <v>45930</v>
      </c>
      <c r="J45" s="3">
        <v>45930</v>
      </c>
      <c r="K45" s="3">
        <v>45930</v>
      </c>
      <c r="L45" s="1">
        <v>12</v>
      </c>
      <c r="M45" s="1">
        <v>14</v>
      </c>
      <c r="N45" s="1" t="s">
        <v>23</v>
      </c>
    </row>
    <row r="46" spans="1:14" ht="15.75" customHeight="1" x14ac:dyDescent="0.25">
      <c r="A46" s="1" t="s">
        <v>137</v>
      </c>
      <c r="B46" s="1" t="s">
        <v>138</v>
      </c>
      <c r="C46" s="1" t="s">
        <v>147</v>
      </c>
      <c r="D46" s="1" t="s">
        <v>78</v>
      </c>
      <c r="E46" s="1">
        <v>10</v>
      </c>
      <c r="F46" s="1" t="s">
        <v>21</v>
      </c>
      <c r="G46" s="1" t="s">
        <v>141</v>
      </c>
      <c r="H46" s="3">
        <v>45930</v>
      </c>
      <c r="I46" s="3">
        <v>45930</v>
      </c>
      <c r="J46" s="3">
        <v>45930</v>
      </c>
      <c r="K46" s="3">
        <v>45930</v>
      </c>
      <c r="L46" s="1">
        <v>10</v>
      </c>
      <c r="M46" s="1">
        <v>9</v>
      </c>
      <c r="N46" s="1" t="s">
        <v>23</v>
      </c>
    </row>
    <row r="47" spans="1:14" ht="15.75" customHeight="1" x14ac:dyDescent="0.25">
      <c r="A47" s="1" t="s">
        <v>137</v>
      </c>
      <c r="B47" s="1" t="s">
        <v>138</v>
      </c>
      <c r="C47" s="1" t="s">
        <v>148</v>
      </c>
      <c r="D47" s="1" t="s">
        <v>149</v>
      </c>
      <c r="E47" s="1">
        <v>11</v>
      </c>
      <c r="F47" s="1" t="s">
        <v>21</v>
      </c>
      <c r="G47" s="1" t="s">
        <v>141</v>
      </c>
      <c r="H47" s="3">
        <v>45930</v>
      </c>
      <c r="I47" s="3">
        <v>45930</v>
      </c>
      <c r="J47" s="3">
        <v>45930</v>
      </c>
      <c r="K47" s="3">
        <v>45930</v>
      </c>
      <c r="L47" s="1">
        <v>11</v>
      </c>
      <c r="M47" s="1">
        <v>12</v>
      </c>
      <c r="N47" s="1" t="s">
        <v>23</v>
      </c>
    </row>
    <row r="48" spans="1:14" ht="15.75" customHeight="1" x14ac:dyDescent="0.25">
      <c r="A48" s="1" t="s">
        <v>137</v>
      </c>
      <c r="B48" s="1" t="s">
        <v>138</v>
      </c>
      <c r="C48" s="1" t="s">
        <v>150</v>
      </c>
      <c r="D48" s="1" t="s">
        <v>149</v>
      </c>
      <c r="E48" s="1">
        <v>10</v>
      </c>
      <c r="F48" s="1" t="s">
        <v>21</v>
      </c>
      <c r="G48" s="1" t="s">
        <v>141</v>
      </c>
      <c r="H48" s="3">
        <v>45930</v>
      </c>
      <c r="I48" s="3">
        <v>45930</v>
      </c>
      <c r="J48" s="3">
        <v>45930</v>
      </c>
      <c r="K48" s="3">
        <v>45930</v>
      </c>
      <c r="L48" s="1">
        <v>10</v>
      </c>
      <c r="M48" s="1">
        <v>12</v>
      </c>
      <c r="N48" s="1" t="s">
        <v>23</v>
      </c>
    </row>
    <row r="49" spans="1:14" ht="15.75" customHeight="1" x14ac:dyDescent="0.25">
      <c r="A49" s="1" t="s">
        <v>137</v>
      </c>
      <c r="B49" s="1" t="s">
        <v>138</v>
      </c>
      <c r="C49" s="1" t="s">
        <v>151</v>
      </c>
      <c r="D49" s="1" t="s">
        <v>140</v>
      </c>
      <c r="E49" s="1">
        <v>9</v>
      </c>
      <c r="F49" s="1" t="s">
        <v>21</v>
      </c>
      <c r="G49" s="1" t="s">
        <v>141</v>
      </c>
      <c r="H49" s="3">
        <v>45930</v>
      </c>
      <c r="I49" s="3">
        <v>45930</v>
      </c>
      <c r="J49" s="3">
        <v>45930</v>
      </c>
      <c r="K49" s="3">
        <v>45930</v>
      </c>
      <c r="L49" s="1">
        <v>9</v>
      </c>
      <c r="M49" s="1">
        <v>9</v>
      </c>
      <c r="N49" s="1" t="s">
        <v>23</v>
      </c>
    </row>
    <row r="50" spans="1:14" ht="15.75" customHeight="1" x14ac:dyDescent="0.25">
      <c r="A50" s="1" t="s">
        <v>137</v>
      </c>
      <c r="B50" s="1" t="s">
        <v>138</v>
      </c>
      <c r="C50" s="1" t="s">
        <v>152</v>
      </c>
      <c r="D50" s="1" t="s">
        <v>144</v>
      </c>
      <c r="E50" s="1">
        <v>11</v>
      </c>
      <c r="F50" s="1" t="s">
        <v>21</v>
      </c>
      <c r="G50" s="1" t="s">
        <v>141</v>
      </c>
      <c r="H50" s="3">
        <v>45930</v>
      </c>
      <c r="I50" s="3">
        <v>45930</v>
      </c>
      <c r="J50" s="3">
        <v>45930</v>
      </c>
      <c r="K50" s="3">
        <v>45930</v>
      </c>
      <c r="L50" s="1">
        <v>11</v>
      </c>
      <c r="M50" s="1">
        <v>10</v>
      </c>
      <c r="N50" s="1" t="s">
        <v>23</v>
      </c>
    </row>
    <row r="51" spans="1:14" ht="15.75" customHeight="1" x14ac:dyDescent="0.25">
      <c r="A51" s="1" t="s">
        <v>137</v>
      </c>
      <c r="B51" s="1" t="s">
        <v>138</v>
      </c>
      <c r="C51" s="1" t="s">
        <v>153</v>
      </c>
      <c r="D51" s="1" t="s">
        <v>78</v>
      </c>
      <c r="E51" s="1">
        <v>5</v>
      </c>
      <c r="F51" s="1" t="s">
        <v>21</v>
      </c>
      <c r="G51" s="1" t="s">
        <v>141</v>
      </c>
      <c r="H51" s="3">
        <v>45930</v>
      </c>
      <c r="I51" s="3">
        <v>45930</v>
      </c>
      <c r="J51" s="3">
        <v>45930</v>
      </c>
      <c r="K51" s="3">
        <v>45930</v>
      </c>
      <c r="L51" s="1">
        <v>5</v>
      </c>
      <c r="M51" s="1">
        <v>5</v>
      </c>
      <c r="N51" s="1" t="s">
        <v>23</v>
      </c>
    </row>
    <row r="52" spans="1:14" ht="15.75" customHeight="1" x14ac:dyDescent="0.25"/>
    <row r="53" spans="1:14" ht="15.75" customHeight="1" x14ac:dyDescent="0.25"/>
    <row r="54" spans="1:14" ht="15.75" customHeight="1" x14ac:dyDescent="0.25">
      <c r="D54" s="4"/>
      <c r="E54" s="4"/>
    </row>
    <row r="55" spans="1:14" ht="15.75" customHeight="1" x14ac:dyDescent="0.25">
      <c r="D55" s="4"/>
      <c r="E55" s="4"/>
    </row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H1:I1"/>
    <mergeCell ref="J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94BC-7E3E-4D3C-89ED-96FA24892FAE}">
  <dimension ref="A1:E50"/>
  <sheetViews>
    <sheetView workbookViewId="0">
      <selection activeCell="Q24" sqref="Q24"/>
    </sheetView>
  </sheetViews>
  <sheetFormatPr baseColWidth="10" defaultRowHeight="15" x14ac:dyDescent="0.25"/>
  <cols>
    <col min="2" max="2" width="13" bestFit="1" customWidth="1"/>
    <col min="3" max="3" width="9.42578125" bestFit="1" customWidth="1"/>
    <col min="4" max="4" width="24.140625" bestFit="1" customWidth="1"/>
    <col min="5" max="5" width="20.42578125" bestFit="1" customWidth="1"/>
  </cols>
  <sheetData>
    <row r="1" spans="1:5" x14ac:dyDescent="0.25">
      <c r="B1" t="s">
        <v>154</v>
      </c>
      <c r="C1" t="s">
        <v>155</v>
      </c>
      <c r="D1" t="s">
        <v>156</v>
      </c>
      <c r="E1" t="s">
        <v>157</v>
      </c>
    </row>
    <row r="2" spans="1:5" x14ac:dyDescent="0.25">
      <c r="A2" t="str">
        <f>Planificación!A3</f>
        <v>CU15</v>
      </c>
      <c r="B2">
        <f>Planificación!L3</f>
        <v>10</v>
      </c>
      <c r="C2">
        <f>Planificación!M3</f>
        <v>10</v>
      </c>
      <c r="D2">
        <f>B2</f>
        <v>10</v>
      </c>
      <c r="E2">
        <f>C2</f>
        <v>10</v>
      </c>
    </row>
    <row r="3" spans="1:5" x14ac:dyDescent="0.25">
      <c r="A3" t="str">
        <f>Planificación!A4</f>
        <v>CU16</v>
      </c>
      <c r="B3">
        <f>Planificación!L4</f>
        <v>8</v>
      </c>
      <c r="C3">
        <f>Planificación!M4</f>
        <v>8</v>
      </c>
      <c r="D3">
        <f>SUM(B3,D2)</f>
        <v>18</v>
      </c>
      <c r="E3">
        <f>SUM(C3,E2)</f>
        <v>18</v>
      </c>
    </row>
    <row r="4" spans="1:5" x14ac:dyDescent="0.25">
      <c r="A4" t="str">
        <f>Planificación!A5</f>
        <v>CU17</v>
      </c>
      <c r="B4">
        <f>Planificación!L5</f>
        <v>8</v>
      </c>
      <c r="C4">
        <f>Planificación!M5</f>
        <v>7</v>
      </c>
      <c r="D4">
        <f t="shared" ref="D4:D50" si="0">SUM(B4,D3)</f>
        <v>26</v>
      </c>
      <c r="E4">
        <f t="shared" ref="E4:E50" si="1">SUM(C4,E3)</f>
        <v>25</v>
      </c>
    </row>
    <row r="5" spans="1:5" x14ac:dyDescent="0.25">
      <c r="A5" t="str">
        <f>Planificación!A6</f>
        <v>CU18</v>
      </c>
      <c r="B5">
        <f>Planificación!L6</f>
        <v>10</v>
      </c>
      <c r="C5">
        <f>Planificación!M6</f>
        <v>10</v>
      </c>
      <c r="D5">
        <f t="shared" si="0"/>
        <v>36</v>
      </c>
      <c r="E5">
        <f t="shared" si="1"/>
        <v>35</v>
      </c>
    </row>
    <row r="6" spans="1:5" x14ac:dyDescent="0.25">
      <c r="A6" t="str">
        <f>Planificación!A7</f>
        <v>CU19</v>
      </c>
      <c r="B6">
        <f>Planificación!L7</f>
        <v>8</v>
      </c>
      <c r="C6">
        <f>Planificación!M7</f>
        <v>7</v>
      </c>
      <c r="D6">
        <f t="shared" si="0"/>
        <v>44</v>
      </c>
      <c r="E6">
        <f t="shared" si="1"/>
        <v>42</v>
      </c>
    </row>
    <row r="7" spans="1:5" x14ac:dyDescent="0.25">
      <c r="A7" t="str">
        <f>Planificación!A8</f>
        <v>CU20</v>
      </c>
      <c r="B7">
        <f>Planificación!L8</f>
        <v>8</v>
      </c>
      <c r="C7">
        <f>Planificación!M8</f>
        <v>8</v>
      </c>
      <c r="D7">
        <f t="shared" si="0"/>
        <v>52</v>
      </c>
      <c r="E7">
        <f t="shared" si="1"/>
        <v>50</v>
      </c>
    </row>
    <row r="8" spans="1:5" x14ac:dyDescent="0.25">
      <c r="A8" t="str">
        <f>Planificación!A9</f>
        <v>CU21</v>
      </c>
      <c r="B8">
        <f>Planificación!L9</f>
        <v>7</v>
      </c>
      <c r="C8">
        <f>Planificación!M9</f>
        <v>8</v>
      </c>
      <c r="D8">
        <f t="shared" si="0"/>
        <v>59</v>
      </c>
      <c r="E8">
        <f t="shared" si="1"/>
        <v>58</v>
      </c>
    </row>
    <row r="9" spans="1:5" x14ac:dyDescent="0.25">
      <c r="A9" t="str">
        <f>Planificación!A10</f>
        <v>CU22</v>
      </c>
      <c r="B9">
        <f>Planificación!L10</f>
        <v>6</v>
      </c>
      <c r="C9">
        <f>Planificación!M10</f>
        <v>6</v>
      </c>
      <c r="D9">
        <f t="shared" si="0"/>
        <v>65</v>
      </c>
      <c r="E9">
        <f t="shared" si="1"/>
        <v>64</v>
      </c>
    </row>
    <row r="10" spans="1:5" x14ac:dyDescent="0.25">
      <c r="A10" t="str">
        <f>Planificación!A11</f>
        <v>CU23</v>
      </c>
      <c r="B10">
        <f>Planificación!L11</f>
        <v>10</v>
      </c>
      <c r="C10">
        <f>Planificación!M11</f>
        <v>11</v>
      </c>
      <c r="D10">
        <f t="shared" si="0"/>
        <v>75</v>
      </c>
      <c r="E10">
        <f t="shared" si="1"/>
        <v>75</v>
      </c>
    </row>
    <row r="11" spans="1:5" x14ac:dyDescent="0.25">
      <c r="A11" t="str">
        <f>Planificación!A12</f>
        <v>CU24</v>
      </c>
      <c r="B11">
        <f>Planificación!L12</f>
        <v>7</v>
      </c>
      <c r="C11">
        <f>Planificación!M12</f>
        <v>8</v>
      </c>
      <c r="D11">
        <f t="shared" si="0"/>
        <v>82</v>
      </c>
      <c r="E11">
        <f t="shared" si="1"/>
        <v>83</v>
      </c>
    </row>
    <row r="12" spans="1:5" x14ac:dyDescent="0.25">
      <c r="A12" t="str">
        <f>Planificación!A13</f>
        <v>CU27</v>
      </c>
      <c r="B12">
        <f>Planificación!L13</f>
        <v>8</v>
      </c>
      <c r="C12">
        <f>Planificación!M13</f>
        <v>8</v>
      </c>
      <c r="D12">
        <f t="shared" si="0"/>
        <v>90</v>
      </c>
      <c r="E12">
        <f t="shared" si="1"/>
        <v>91</v>
      </c>
    </row>
    <row r="13" spans="1:5" x14ac:dyDescent="0.25">
      <c r="A13" t="str">
        <f>Planificación!A14</f>
        <v>CU28</v>
      </c>
      <c r="B13">
        <f>Planificación!L14</f>
        <v>6</v>
      </c>
      <c r="C13">
        <f>Planificación!M14</f>
        <v>6</v>
      </c>
      <c r="D13">
        <f t="shared" si="0"/>
        <v>96</v>
      </c>
      <c r="E13">
        <f t="shared" si="1"/>
        <v>97</v>
      </c>
    </row>
    <row r="14" spans="1:5" x14ac:dyDescent="0.25">
      <c r="A14" t="str">
        <f>Planificación!A15</f>
        <v>CU29</v>
      </c>
      <c r="B14">
        <f>Planificación!L15</f>
        <v>7</v>
      </c>
      <c r="C14">
        <f>Planificación!M15</f>
        <v>7</v>
      </c>
      <c r="D14">
        <f t="shared" si="0"/>
        <v>103</v>
      </c>
      <c r="E14">
        <f t="shared" si="1"/>
        <v>104</v>
      </c>
    </row>
    <row r="15" spans="1:5" x14ac:dyDescent="0.25">
      <c r="A15" t="str">
        <f>Planificación!A16</f>
        <v>CU30</v>
      </c>
      <c r="B15">
        <f>Planificación!L16</f>
        <v>9</v>
      </c>
      <c r="C15">
        <f>Planificación!M16</f>
        <v>8</v>
      </c>
      <c r="D15">
        <f t="shared" si="0"/>
        <v>112</v>
      </c>
      <c r="E15">
        <f t="shared" si="1"/>
        <v>112</v>
      </c>
    </row>
    <row r="16" spans="1:5" x14ac:dyDescent="0.25">
      <c r="A16" t="str">
        <f>Planificación!A17</f>
        <v>CU32</v>
      </c>
      <c r="B16">
        <f>Planificación!L17</f>
        <v>8</v>
      </c>
      <c r="C16">
        <f>Planificación!M17</f>
        <v>8</v>
      </c>
      <c r="D16">
        <f t="shared" si="0"/>
        <v>120</v>
      </c>
      <c r="E16">
        <f t="shared" si="1"/>
        <v>120</v>
      </c>
    </row>
    <row r="17" spans="1:5" x14ac:dyDescent="0.25">
      <c r="A17" t="str">
        <f>Planificación!A18</f>
        <v>CU33</v>
      </c>
      <c r="B17">
        <f>Planificación!L18</f>
        <v>7</v>
      </c>
      <c r="C17">
        <f>Planificación!M18</f>
        <v>6</v>
      </c>
      <c r="D17">
        <f t="shared" si="0"/>
        <v>127</v>
      </c>
      <c r="E17">
        <f t="shared" si="1"/>
        <v>126</v>
      </c>
    </row>
    <row r="18" spans="1:5" x14ac:dyDescent="0.25">
      <c r="A18" t="str">
        <f>Planificación!A19</f>
        <v>CU34</v>
      </c>
      <c r="B18">
        <f>Planificación!L19</f>
        <v>6</v>
      </c>
      <c r="C18">
        <f>Planificación!M19</f>
        <v>6</v>
      </c>
      <c r="D18">
        <f t="shared" si="0"/>
        <v>133</v>
      </c>
      <c r="E18">
        <f t="shared" si="1"/>
        <v>132</v>
      </c>
    </row>
    <row r="19" spans="1:5" x14ac:dyDescent="0.25">
      <c r="A19" t="str">
        <f>Planificación!A20</f>
        <v>CU35</v>
      </c>
      <c r="B19">
        <f>Planificación!L20</f>
        <v>7</v>
      </c>
      <c r="C19">
        <f>Planificación!M20</f>
        <v>8</v>
      </c>
      <c r="D19">
        <f t="shared" si="0"/>
        <v>140</v>
      </c>
      <c r="E19">
        <f t="shared" si="1"/>
        <v>140</v>
      </c>
    </row>
    <row r="20" spans="1:5" x14ac:dyDescent="0.25">
      <c r="A20" t="str">
        <f>Planificación!A21</f>
        <v>CU36</v>
      </c>
      <c r="B20">
        <f>Planificación!L21</f>
        <v>7</v>
      </c>
      <c r="C20">
        <f>Planificación!M21</f>
        <v>6</v>
      </c>
      <c r="D20">
        <f t="shared" si="0"/>
        <v>147</v>
      </c>
      <c r="E20">
        <f t="shared" si="1"/>
        <v>146</v>
      </c>
    </row>
    <row r="21" spans="1:5" x14ac:dyDescent="0.25">
      <c r="A21" t="str">
        <f>Planificación!A22</f>
        <v>CU38</v>
      </c>
      <c r="B21">
        <f>Planificación!L22</f>
        <v>6</v>
      </c>
      <c r="C21">
        <f>Planificación!M22</f>
        <v>7</v>
      </c>
      <c r="D21">
        <f t="shared" si="0"/>
        <v>153</v>
      </c>
      <c r="E21">
        <f t="shared" si="1"/>
        <v>153</v>
      </c>
    </row>
    <row r="22" spans="1:5" x14ac:dyDescent="0.25">
      <c r="A22" t="str">
        <f>Planificación!A23</f>
        <v>CU39</v>
      </c>
      <c r="B22">
        <f>Planificación!L23</f>
        <v>9</v>
      </c>
      <c r="C22">
        <f>Planificación!M23</f>
        <v>9</v>
      </c>
      <c r="D22">
        <f t="shared" si="0"/>
        <v>162</v>
      </c>
      <c r="E22">
        <f t="shared" si="1"/>
        <v>162</v>
      </c>
    </row>
    <row r="23" spans="1:5" x14ac:dyDescent="0.25">
      <c r="A23" t="str">
        <f>Planificación!A24</f>
        <v>CU41</v>
      </c>
      <c r="B23">
        <f>Planificación!L24</f>
        <v>7</v>
      </c>
      <c r="C23">
        <f>Planificación!M24</f>
        <v>6</v>
      </c>
      <c r="D23">
        <f t="shared" si="0"/>
        <v>169</v>
      </c>
      <c r="E23">
        <f t="shared" si="1"/>
        <v>168</v>
      </c>
    </row>
    <row r="24" spans="1:5" x14ac:dyDescent="0.25">
      <c r="A24" t="str">
        <f>Planificación!A25</f>
        <v>CU42</v>
      </c>
      <c r="B24">
        <f>Planificación!L25</f>
        <v>6</v>
      </c>
      <c r="C24">
        <f>Planificación!M25</f>
        <v>6</v>
      </c>
      <c r="D24">
        <f t="shared" si="0"/>
        <v>175</v>
      </c>
      <c r="E24">
        <f t="shared" si="1"/>
        <v>174</v>
      </c>
    </row>
    <row r="25" spans="1:5" x14ac:dyDescent="0.25">
      <c r="A25" t="str">
        <f>Planificación!A26</f>
        <v>CU43</v>
      </c>
      <c r="B25">
        <f>Planificación!L26</f>
        <v>9</v>
      </c>
      <c r="C25">
        <f>Planificación!M26</f>
        <v>8</v>
      </c>
      <c r="D25">
        <f t="shared" si="0"/>
        <v>184</v>
      </c>
      <c r="E25">
        <f t="shared" si="1"/>
        <v>182</v>
      </c>
    </row>
    <row r="26" spans="1:5" x14ac:dyDescent="0.25">
      <c r="A26" t="str">
        <f>Planificación!A27</f>
        <v>CU44</v>
      </c>
      <c r="B26">
        <f>Planificación!L27</f>
        <v>7</v>
      </c>
      <c r="C26">
        <f>Planificación!M27</f>
        <v>7</v>
      </c>
      <c r="D26">
        <f t="shared" si="0"/>
        <v>191</v>
      </c>
      <c r="E26">
        <f t="shared" si="1"/>
        <v>189</v>
      </c>
    </row>
    <row r="27" spans="1:5" x14ac:dyDescent="0.25">
      <c r="A27" t="str">
        <f>Planificación!A28</f>
        <v>CU46</v>
      </c>
      <c r="B27">
        <f>Planificación!L28</f>
        <v>10</v>
      </c>
      <c r="C27">
        <f>Planificación!M28</f>
        <v>11</v>
      </c>
      <c r="D27">
        <f t="shared" si="0"/>
        <v>201</v>
      </c>
      <c r="E27">
        <f t="shared" si="1"/>
        <v>200</v>
      </c>
    </row>
    <row r="28" spans="1:5" x14ac:dyDescent="0.25">
      <c r="A28" t="str">
        <f>Planificación!A29</f>
        <v>CU47</v>
      </c>
      <c r="B28">
        <f>Planificación!L29</f>
        <v>7</v>
      </c>
      <c r="C28">
        <f>Planificación!M29</f>
        <v>8</v>
      </c>
      <c r="D28">
        <f t="shared" si="0"/>
        <v>208</v>
      </c>
      <c r="E28">
        <f t="shared" si="1"/>
        <v>208</v>
      </c>
    </row>
    <row r="29" spans="1:5" x14ac:dyDescent="0.25">
      <c r="A29" t="str">
        <f>Planificación!A30</f>
        <v>CU48</v>
      </c>
      <c r="B29">
        <f>Planificación!L30</f>
        <v>9</v>
      </c>
      <c r="C29">
        <f>Planificación!M30</f>
        <v>10</v>
      </c>
      <c r="D29">
        <f t="shared" si="0"/>
        <v>217</v>
      </c>
      <c r="E29">
        <f t="shared" si="1"/>
        <v>218</v>
      </c>
    </row>
    <row r="30" spans="1:5" x14ac:dyDescent="0.25">
      <c r="A30" t="str">
        <f>Planificación!A31</f>
        <v>CU49</v>
      </c>
      <c r="B30">
        <f>Planificación!L31</f>
        <v>8</v>
      </c>
      <c r="C30">
        <f>Planificación!M31</f>
        <v>7</v>
      </c>
      <c r="D30">
        <f t="shared" si="0"/>
        <v>225</v>
      </c>
      <c r="E30">
        <f t="shared" si="1"/>
        <v>225</v>
      </c>
    </row>
    <row r="31" spans="1:5" x14ac:dyDescent="0.25">
      <c r="A31" t="str">
        <f>Planificación!A32</f>
        <v>CU50</v>
      </c>
      <c r="B31">
        <f>Planificación!L32</f>
        <v>7</v>
      </c>
      <c r="C31">
        <f>Planificación!M32</f>
        <v>6</v>
      </c>
      <c r="D31">
        <f t="shared" si="0"/>
        <v>232</v>
      </c>
      <c r="E31">
        <f t="shared" si="1"/>
        <v>231</v>
      </c>
    </row>
    <row r="32" spans="1:5" x14ac:dyDescent="0.25">
      <c r="A32" t="str">
        <f>Planificación!A33</f>
        <v>CU51</v>
      </c>
      <c r="B32">
        <f>Planificación!L33</f>
        <v>7</v>
      </c>
      <c r="C32">
        <f>Planificación!M33</f>
        <v>7</v>
      </c>
      <c r="D32">
        <f t="shared" si="0"/>
        <v>239</v>
      </c>
      <c r="E32">
        <f t="shared" si="1"/>
        <v>238</v>
      </c>
    </row>
    <row r="33" spans="1:5" x14ac:dyDescent="0.25">
      <c r="A33" t="str">
        <f>Planificación!A34</f>
        <v>CU52</v>
      </c>
      <c r="B33">
        <f>Planificación!L34</f>
        <v>6</v>
      </c>
      <c r="C33">
        <f>Planificación!M34</f>
        <v>6</v>
      </c>
      <c r="D33">
        <f t="shared" si="0"/>
        <v>245</v>
      </c>
      <c r="E33">
        <f t="shared" si="1"/>
        <v>244</v>
      </c>
    </row>
    <row r="34" spans="1:5" x14ac:dyDescent="0.25">
      <c r="A34" t="str">
        <f>Planificación!A35</f>
        <v>CU53</v>
      </c>
      <c r="B34">
        <f>Planificación!L35</f>
        <v>7</v>
      </c>
      <c r="C34">
        <f>Planificación!M35</f>
        <v>7</v>
      </c>
      <c r="D34">
        <f t="shared" si="0"/>
        <v>252</v>
      </c>
      <c r="E34">
        <f t="shared" si="1"/>
        <v>251</v>
      </c>
    </row>
    <row r="35" spans="1:5" x14ac:dyDescent="0.25">
      <c r="A35" t="str">
        <f>Planificación!A36</f>
        <v>CU54</v>
      </c>
      <c r="B35">
        <f>Planificación!L36</f>
        <v>6</v>
      </c>
      <c r="C35">
        <f>Planificación!M36</f>
        <v>7</v>
      </c>
      <c r="D35">
        <f t="shared" si="0"/>
        <v>258</v>
      </c>
      <c r="E35">
        <f t="shared" si="1"/>
        <v>258</v>
      </c>
    </row>
    <row r="36" spans="1:5" x14ac:dyDescent="0.25">
      <c r="A36" t="str">
        <f>Planificación!A37</f>
        <v>CU56</v>
      </c>
      <c r="B36">
        <f>Planificación!L37</f>
        <v>7</v>
      </c>
      <c r="C36">
        <f>Planificación!M37</f>
        <v>8</v>
      </c>
      <c r="D36">
        <f t="shared" si="0"/>
        <v>265</v>
      </c>
      <c r="E36">
        <f t="shared" si="1"/>
        <v>266</v>
      </c>
    </row>
    <row r="37" spans="1:5" x14ac:dyDescent="0.25">
      <c r="A37" t="str">
        <f>Planificación!A38</f>
        <v>CU58</v>
      </c>
      <c r="B37">
        <f>Planificación!L38</f>
        <v>6</v>
      </c>
      <c r="C37">
        <f>Planificación!M38</f>
        <v>5</v>
      </c>
      <c r="D37">
        <f t="shared" si="0"/>
        <v>271</v>
      </c>
      <c r="E37">
        <f t="shared" si="1"/>
        <v>271</v>
      </c>
    </row>
    <row r="38" spans="1:5" x14ac:dyDescent="0.25">
      <c r="A38" t="str">
        <f>Planificación!A39</f>
        <v>CU62</v>
      </c>
      <c r="B38">
        <f>Planificación!L39</f>
        <v>9</v>
      </c>
      <c r="C38">
        <f>Planificación!M39</f>
        <v>9</v>
      </c>
      <c r="D38">
        <f t="shared" si="0"/>
        <v>280</v>
      </c>
      <c r="E38">
        <f t="shared" si="1"/>
        <v>280</v>
      </c>
    </row>
    <row r="39" spans="1:5" x14ac:dyDescent="0.25">
      <c r="A39" t="str">
        <f>Planificación!A40</f>
        <v>CU63</v>
      </c>
      <c r="B39">
        <f>Planificación!L40</f>
        <v>6</v>
      </c>
      <c r="C39">
        <f>Planificación!M40</f>
        <v>7</v>
      </c>
      <c r="D39">
        <f t="shared" si="0"/>
        <v>286</v>
      </c>
      <c r="E39">
        <f t="shared" si="1"/>
        <v>287</v>
      </c>
    </row>
    <row r="40" spans="1:5" x14ac:dyDescent="0.25">
      <c r="A40" t="str">
        <f>Planificación!A41</f>
        <v>Informe</v>
      </c>
      <c r="B40">
        <f>Planificación!L41</f>
        <v>8</v>
      </c>
      <c r="C40">
        <f>Planificación!M41</f>
        <v>9</v>
      </c>
      <c r="D40">
        <f t="shared" si="0"/>
        <v>294</v>
      </c>
      <c r="E40">
        <f t="shared" si="1"/>
        <v>296</v>
      </c>
    </row>
    <row r="41" spans="1:5" x14ac:dyDescent="0.25">
      <c r="A41" t="str">
        <f>Planificación!A42</f>
        <v>Informe</v>
      </c>
      <c r="B41">
        <f>Planificación!L42</f>
        <v>8</v>
      </c>
      <c r="C41">
        <f>Planificación!M42</f>
        <v>6</v>
      </c>
      <c r="D41">
        <f t="shared" si="0"/>
        <v>302</v>
      </c>
      <c r="E41">
        <f t="shared" si="1"/>
        <v>302</v>
      </c>
    </row>
    <row r="42" spans="1:5" x14ac:dyDescent="0.25">
      <c r="A42" t="str">
        <f>Planificación!A43</f>
        <v>Informe</v>
      </c>
      <c r="B42">
        <f>Planificación!L43</f>
        <v>7</v>
      </c>
      <c r="C42">
        <f>Planificación!M43</f>
        <v>5</v>
      </c>
      <c r="D42">
        <f t="shared" si="0"/>
        <v>309</v>
      </c>
      <c r="E42">
        <f t="shared" si="1"/>
        <v>307</v>
      </c>
    </row>
    <row r="43" spans="1:5" x14ac:dyDescent="0.25">
      <c r="A43" t="str">
        <f>Planificación!A44</f>
        <v>Informe</v>
      </c>
      <c r="B43">
        <f>Planificación!L44</f>
        <v>11</v>
      </c>
      <c r="C43">
        <f>Planificación!M44</f>
        <v>13</v>
      </c>
      <c r="D43">
        <f t="shared" si="0"/>
        <v>320</v>
      </c>
      <c r="E43">
        <f t="shared" si="1"/>
        <v>320</v>
      </c>
    </row>
    <row r="44" spans="1:5" x14ac:dyDescent="0.25">
      <c r="A44" t="str">
        <f>Planificación!A45</f>
        <v>Informe</v>
      </c>
      <c r="B44">
        <f>Planificación!L45</f>
        <v>12</v>
      </c>
      <c r="C44">
        <f>Planificación!M45</f>
        <v>14</v>
      </c>
      <c r="D44">
        <f t="shared" si="0"/>
        <v>332</v>
      </c>
      <c r="E44">
        <f t="shared" si="1"/>
        <v>334</v>
      </c>
    </row>
    <row r="45" spans="1:5" x14ac:dyDescent="0.25">
      <c r="A45" t="str">
        <f>Planificación!A46</f>
        <v>Informe</v>
      </c>
      <c r="B45">
        <f>Planificación!L46</f>
        <v>10</v>
      </c>
      <c r="C45">
        <f>Planificación!M46</f>
        <v>9</v>
      </c>
      <c r="D45">
        <f t="shared" si="0"/>
        <v>342</v>
      </c>
      <c r="E45">
        <f t="shared" si="1"/>
        <v>343</v>
      </c>
    </row>
    <row r="46" spans="1:5" x14ac:dyDescent="0.25">
      <c r="A46" t="str">
        <f>Planificación!A47</f>
        <v>Informe</v>
      </c>
      <c r="B46">
        <f>Planificación!L47</f>
        <v>11</v>
      </c>
      <c r="C46">
        <f>Planificación!M47</f>
        <v>12</v>
      </c>
      <c r="D46">
        <f t="shared" si="0"/>
        <v>353</v>
      </c>
      <c r="E46">
        <f t="shared" si="1"/>
        <v>355</v>
      </c>
    </row>
    <row r="47" spans="1:5" x14ac:dyDescent="0.25">
      <c r="A47" t="str">
        <f>Planificación!A48</f>
        <v>Informe</v>
      </c>
      <c r="B47">
        <f>Planificación!L48</f>
        <v>10</v>
      </c>
      <c r="C47">
        <f>Planificación!M48</f>
        <v>12</v>
      </c>
      <c r="D47">
        <f t="shared" si="0"/>
        <v>363</v>
      </c>
      <c r="E47">
        <f t="shared" si="1"/>
        <v>367</v>
      </c>
    </row>
    <row r="48" spans="1:5" x14ac:dyDescent="0.25">
      <c r="A48" t="str">
        <f>Planificación!A49</f>
        <v>Informe</v>
      </c>
      <c r="B48">
        <f>Planificación!L49</f>
        <v>9</v>
      </c>
      <c r="C48">
        <f>Planificación!M49</f>
        <v>9</v>
      </c>
      <c r="D48">
        <f t="shared" si="0"/>
        <v>372</v>
      </c>
      <c r="E48">
        <f t="shared" si="1"/>
        <v>376</v>
      </c>
    </row>
    <row r="49" spans="1:5" x14ac:dyDescent="0.25">
      <c r="A49" t="str">
        <f>Planificación!A50</f>
        <v>Informe</v>
      </c>
      <c r="B49">
        <f>Planificación!L50</f>
        <v>11</v>
      </c>
      <c r="C49">
        <f>Planificación!M50</f>
        <v>10</v>
      </c>
      <c r="D49">
        <f t="shared" si="0"/>
        <v>383</v>
      </c>
      <c r="E49">
        <f t="shared" si="1"/>
        <v>386</v>
      </c>
    </row>
    <row r="50" spans="1:5" x14ac:dyDescent="0.25">
      <c r="A50" t="str">
        <f>Planificación!A51</f>
        <v>Informe</v>
      </c>
      <c r="B50">
        <f>Planificación!L51</f>
        <v>5</v>
      </c>
      <c r="C50">
        <f>Planificación!M51</f>
        <v>5</v>
      </c>
      <c r="D50">
        <f t="shared" si="0"/>
        <v>388</v>
      </c>
      <c r="E50">
        <f t="shared" si="1"/>
        <v>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Planificación</vt:lpstr>
      <vt:lpstr>HH estimadas vs HH reales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HERRERA MOLINA DIEGO A</cp:lastModifiedBy>
  <dcterms:created xsi:type="dcterms:W3CDTF">2025-10-03T17:14:36Z</dcterms:created>
  <dcterms:modified xsi:type="dcterms:W3CDTF">2025-10-03T22:32:34Z</dcterms:modified>
</cp:coreProperties>
</file>