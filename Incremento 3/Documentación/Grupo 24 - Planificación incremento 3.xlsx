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1" sheetId="1" r:id="rId4"/>
    <sheet state="visible" name="HH estimadas VS HH reales" sheetId="2" r:id="rId5"/>
    <sheet state="visible" name="Hoja3" sheetId="3" r:id="rId6"/>
  </sheets>
  <definedNames>
    <definedName localSheetId="0" name="DatosExternos_1">Tabla1!$A$1:$L$21</definedName>
  </definedNames>
  <calcPr/>
  <extLst>
    <ext uri="GoogleSheetsCustomDataVersion2">
      <go:sheetsCustomData xmlns:go="http://customooxmlschemas.google.com/" r:id="rId7" roundtripDataChecksum="NmWf1xSxBPtUEmo7FYhH70lpB1HA7skrsCrOs0dwHmw="/>
    </ext>
  </extLst>
</workbook>
</file>

<file path=xl/sharedStrings.xml><?xml version="1.0" encoding="utf-8"?>
<sst xmlns="http://schemas.openxmlformats.org/spreadsheetml/2006/main" count="147" uniqueCount="78">
  <si>
    <t>PILA DEL PRODUCTO</t>
  </si>
  <si>
    <t>Columna1</t>
  </si>
  <si>
    <t>Columna2</t>
  </si>
  <si>
    <t>Columna3</t>
  </si>
  <si>
    <t>Columna4</t>
  </si>
  <si>
    <t>Fecha Estimada</t>
  </si>
  <si>
    <t>Columna5</t>
  </si>
  <si>
    <t>Fecha Real</t>
  </si>
  <si>
    <t>Columna6</t>
  </si>
  <si>
    <t>Columna7</t>
  </si>
  <si>
    <t>Columna8</t>
  </si>
  <si>
    <t>Columna9</t>
  </si>
  <si>
    <t>Tarea</t>
  </si>
  <si>
    <t>Responsable</t>
  </si>
  <si>
    <t>Estimar HH</t>
  </si>
  <si>
    <t>Estado</t>
  </si>
  <si>
    <t>Objetivo del sprint</t>
  </si>
  <si>
    <t>Inicio</t>
  </si>
  <si>
    <t>Fin</t>
  </si>
  <si>
    <t xml:space="preserve">Inicio </t>
  </si>
  <si>
    <t>HH estimadas</t>
  </si>
  <si>
    <t>HH efectivas</t>
  </si>
  <si>
    <t>Estado Final</t>
  </si>
  <si>
    <t>Visualizando Rutas Optimizadas en Google Maps</t>
  </si>
  <si>
    <t>Tomas Burgos Bottari</t>
  </si>
  <si>
    <t>En proceso</t>
  </si>
  <si>
    <t>Cumplir con CU25</t>
  </si>
  <si>
    <t>Finalizado</t>
  </si>
  <si>
    <t>Calculando Tiempo estimado de entregas</t>
  </si>
  <si>
    <t>Juan Pablo Olmedo Saavedra</t>
  </si>
  <si>
    <t>Cumplir con CU26</t>
  </si>
  <si>
    <t>Notificando internamente entre usuarios</t>
  </si>
  <si>
    <t>Cumplir con CU31</t>
  </si>
  <si>
    <t>Reemplazando cilindro en mas estado antes del despacho</t>
  </si>
  <si>
    <t>Cumplir con CU37</t>
  </si>
  <si>
    <t>Sugiriendo reabastecimiento de cilindros</t>
  </si>
  <si>
    <t>Cumplir con CU40</t>
  </si>
  <si>
    <t>Registrando inspección de cilindrios antes del despacho</t>
  </si>
  <si>
    <t>Cumplir con CU45</t>
  </si>
  <si>
    <t>Visualizando barra comparativas por tipo de cilindro</t>
  </si>
  <si>
    <t>Cumplir con CU55</t>
  </si>
  <si>
    <t>Generando mapa de calor por zonas de entrega</t>
  </si>
  <si>
    <t>Cumplir con CU59</t>
  </si>
  <si>
    <t>Calculando tiempo por pedido</t>
  </si>
  <si>
    <t>Cumplir con CU60</t>
  </si>
  <si>
    <t>Elaborar informe final del proyecto</t>
  </si>
  <si>
    <t>Diego Herrera Molina</t>
  </si>
  <si>
    <t>Documentacion y soporte del proyecto</t>
  </si>
  <si>
    <t>Diseñar diagramas de secuencia</t>
  </si>
  <si>
    <t>Anakin Benavides Romero</t>
  </si>
  <si>
    <t>Diseñar diagramas de despliegue</t>
  </si>
  <si>
    <t>Sebastián Valdovinos</t>
  </si>
  <si>
    <t>Diseñar diagramas de componentes</t>
  </si>
  <si>
    <t>Diseñar árbol de navegación</t>
  </si>
  <si>
    <t>Diseñar base de datos</t>
  </si>
  <si>
    <t>Cristobal Valenziela Rojas</t>
  </si>
  <si>
    <t>Diseñar diagrama de base de datos</t>
  </si>
  <si>
    <t>Diseñar diagrama de clases</t>
  </si>
  <si>
    <t>Preparar Backlog y sprint planning</t>
  </si>
  <si>
    <t>Documentar retrospectivas y actas de reunión</t>
  </si>
  <si>
    <t>HH reales</t>
  </si>
  <si>
    <t>CU25</t>
  </si>
  <si>
    <t>CU26</t>
  </si>
  <si>
    <t>CU31</t>
  </si>
  <si>
    <t>CU37</t>
  </si>
  <si>
    <t>CU40</t>
  </si>
  <si>
    <t>CU45</t>
  </si>
  <si>
    <t>CU55</t>
  </si>
  <si>
    <t>CU59</t>
  </si>
  <si>
    <t>CU60</t>
  </si>
  <si>
    <t>Informe</t>
  </si>
  <si>
    <t>TOTAL</t>
  </si>
  <si>
    <t>Dia</t>
  </si>
  <si>
    <t>HH estimadas totales</t>
  </si>
  <si>
    <t>HH completas</t>
  </si>
  <si>
    <t>Horas restantes</t>
  </si>
  <si>
    <t>Ideal Burn down</t>
  </si>
  <si>
    <t>Ideal Burn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</si>
</sst>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b/>
      <sz val="11.0"/>
      <color rgb="FF3F3F3F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bl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HH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'HH estimadas VS HH reales'!$A$2:$A$20</c:f>
            </c:strRef>
          </c:cat>
          <c:val>
            <c:numRef>
              <c:f>'HH estimadas VS HH reales'!$B$2:$B$20</c:f>
              <c:numCache/>
            </c:numRef>
          </c:val>
          <c:smooth val="0"/>
        </c:ser>
        <c:ser>
          <c:idx val="1"/>
          <c:order val="1"/>
          <c:tx>
            <c:v>HH reales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'HH estimadas VS HH reales'!$A$2:$A$20</c:f>
            </c:strRef>
          </c:cat>
          <c:val>
            <c:numRef>
              <c:f>'HH estimadas VS HH reales'!$C$2:$C$20</c:f>
              <c:numCache/>
            </c:numRef>
          </c:val>
          <c:smooth val="0"/>
        </c:ser>
        <c:axId val="1123023195"/>
        <c:axId val="82927762"/>
      </c:lineChart>
      <c:catAx>
        <c:axId val="1123023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927762"/>
      </c:catAx>
      <c:valAx>
        <c:axId val="82927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3023195"/>
      </c:valAx>
    </c:plotArea>
    <c:legend>
      <c:legendPos val="b"/>
      <c:legendEntry>
        <c:idx val="0"/>
        <c:txPr>
          <a:bodyPr/>
          <a:lstStyle/>
          <a:p>
            <a:pPr lvl="0">
              <a:defRPr sz="1200"/>
            </a:pPr>
          </a:p>
        </c:txPr>
      </c:legendEntry>
      <c:legendEntry>
        <c:idx val="1"/>
        <c:txPr>
          <a:bodyPr/>
          <a:lstStyle/>
          <a:p>
            <a:pPr lvl="0">
              <a:defRPr sz="1200"/>
            </a:pPr>
          </a:p>
        </c:txPr>
      </c:legendEntry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Burn Down - Incremento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restantes</c:v>
          </c:tx>
          <c:spPr>
            <a:ln cmpd="sng" w="28575">
              <a:solidFill>
                <a:srgbClr val="156082"/>
              </a:solidFill>
            </a:ln>
          </c:spPr>
          <c:marker>
            <c:symbol val="circle"/>
            <c:size val="5"/>
            <c:spPr>
              <a:solidFill>
                <a:srgbClr val="156082"/>
              </a:solidFill>
              <a:ln cmpd="sng">
                <a:solidFill>
                  <a:srgbClr val="156082"/>
                </a:solidFill>
              </a:ln>
            </c:spPr>
          </c:marker>
          <c:cat>
            <c:strRef>
              <c:f>Hoja3!$A$2:$A$17</c:f>
            </c:strRef>
          </c:cat>
          <c:val>
            <c:numRef>
              <c:f>Hoja3!$D$2:$D$17</c:f>
              <c:numCache/>
            </c:numRef>
          </c:val>
          <c:smooth val="0"/>
        </c:ser>
        <c:ser>
          <c:idx val="1"/>
          <c:order val="1"/>
          <c:tx>
            <c:v>Ideal Burn down</c:v>
          </c:tx>
          <c:spPr>
            <a:ln cmpd="sng" w="19050">
              <a:solidFill>
                <a:srgbClr val="E97132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E97132"/>
              </a:solidFill>
              <a:ln cmpd="sng">
                <a:solidFill>
                  <a:srgbClr val="E97132"/>
                </a:solidFill>
              </a:ln>
            </c:spPr>
          </c:marker>
          <c:cat>
            <c:strRef>
              <c:f>Hoja3!$A$2:$A$17</c:f>
            </c:strRef>
          </c:cat>
          <c:val>
            <c:numRef>
              <c:f>Hoja3!$E$2:$E$17</c:f>
              <c:numCache/>
            </c:numRef>
          </c:val>
          <c:smooth val="0"/>
        </c:ser>
        <c:axId val="1285725526"/>
        <c:axId val="2013026436"/>
      </c:lineChart>
      <c:catAx>
        <c:axId val="128572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3026436"/>
      </c:catAx>
      <c:valAx>
        <c:axId val="2013026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57255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Gráfico Burn Up - Incremento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HH completas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Hoja3!$A$2:$A$17</c:f>
            </c:strRef>
          </c:cat>
          <c:val>
            <c:numRef>
              <c:f>Hoja3!$C$2:$C$17</c:f>
              <c:numCache/>
            </c:numRef>
          </c:val>
          <c:smooth val="0"/>
        </c:ser>
        <c:ser>
          <c:idx val="1"/>
          <c:order val="1"/>
          <c:tx>
            <c:v>Ideal Burn Up</c:v>
          </c:tx>
          <c:spPr>
            <a:ln cmpd="sng" w="19050">
              <a:solidFill>
                <a:srgbClr val="E97132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E97132"/>
              </a:solidFill>
              <a:ln cmpd="sng">
                <a:solidFill>
                  <a:srgbClr val="E97132"/>
                </a:solidFill>
              </a:ln>
            </c:spPr>
          </c:marker>
          <c:cat>
            <c:strRef>
              <c:f>Hoja3!$A$2:$A$17</c:f>
            </c:strRef>
          </c:cat>
          <c:val>
            <c:numRef>
              <c:f>Hoja3!$F$2:$F$17</c:f>
              <c:numCache/>
            </c:numRef>
          </c:val>
          <c:smooth val="0"/>
        </c:ser>
        <c:axId val="168314080"/>
        <c:axId val="633713527"/>
      </c:lineChart>
      <c:catAx>
        <c:axId val="16831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3713527"/>
      </c:catAx>
      <c:valAx>
        <c:axId val="633713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31408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142875</xdr:rowOff>
    </xdr:from>
    <xdr:ext cx="6457950" cy="3829050"/>
    <xdr:graphicFrame>
      <xdr:nvGraphicFramePr>
        <xdr:cNvPr id="10829204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17</xdr:row>
      <xdr:rowOff>47625</xdr:rowOff>
    </xdr:from>
    <xdr:ext cx="5172075" cy="2886075"/>
    <xdr:graphicFrame>
      <xdr:nvGraphicFramePr>
        <xdr:cNvPr id="140306403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314325</xdr:colOff>
      <xdr:row>33</xdr:row>
      <xdr:rowOff>28575</xdr:rowOff>
    </xdr:from>
    <xdr:ext cx="5172075" cy="2886075"/>
    <xdr:graphicFrame>
      <xdr:nvGraphicFramePr>
        <xdr:cNvPr id="533381019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L21" displayName="Table_1" name="Table_1" id="1">
  <tableColumns count="12">
    <tableColumn name="PILA DEL PRODUCTO" id="1"/>
    <tableColumn name="Columna1" id="2"/>
    <tableColumn name="Columna2" id="3"/>
    <tableColumn name="Columna3" id="4"/>
    <tableColumn name="Columna4" id="5"/>
    <tableColumn name="Fecha Estimada" id="6"/>
    <tableColumn name="Columna5" id="7"/>
    <tableColumn name="Fecha Real" id="8"/>
    <tableColumn name="Columna6" id="9"/>
    <tableColumn name="Columna7" id="10"/>
    <tableColumn name="Columna8" id="11"/>
    <tableColumn name="Columna9" id="12"/>
  </tableColumns>
  <tableStyleInfo name="Tabl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38"/>
    <col customWidth="1" min="2" max="2" width="27.13"/>
    <col customWidth="1" min="3" max="4" width="12.38"/>
    <col customWidth="1" min="5" max="5" width="35.13"/>
    <col customWidth="1" min="6" max="6" width="17.25"/>
    <col customWidth="1" min="7" max="7" width="12.38"/>
    <col customWidth="1" min="8" max="8" width="13.0"/>
    <col customWidth="1" min="9" max="9" width="12.38"/>
    <col customWidth="1" min="10" max="10" width="13.25"/>
    <col customWidth="1" min="11" max="12" width="12.38"/>
    <col customWidth="1" min="13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18</v>
      </c>
      <c r="J2" s="1" t="s">
        <v>20</v>
      </c>
      <c r="K2" s="1" t="s">
        <v>21</v>
      </c>
      <c r="L2" s="1" t="s">
        <v>22</v>
      </c>
    </row>
    <row r="3">
      <c r="A3" s="1" t="s">
        <v>23</v>
      </c>
      <c r="B3" s="1" t="s">
        <v>24</v>
      </c>
      <c r="C3" s="1">
        <v>8.0</v>
      </c>
      <c r="D3" s="1" t="s">
        <v>25</v>
      </c>
      <c r="E3" s="1" t="s">
        <v>26</v>
      </c>
      <c r="F3" s="2">
        <v>45938.0</v>
      </c>
      <c r="G3" s="2">
        <v>45940.0</v>
      </c>
      <c r="H3" s="2">
        <v>45938.0</v>
      </c>
      <c r="I3" s="2">
        <v>45942.0</v>
      </c>
      <c r="J3" s="1">
        <v>8.0</v>
      </c>
      <c r="K3" s="1">
        <v>10.0</v>
      </c>
      <c r="L3" s="1" t="s">
        <v>27</v>
      </c>
    </row>
    <row r="4">
      <c r="A4" s="1" t="s">
        <v>28</v>
      </c>
      <c r="B4" s="1" t="s">
        <v>29</v>
      </c>
      <c r="C4" s="1">
        <v>6.0</v>
      </c>
      <c r="D4" s="1" t="s">
        <v>25</v>
      </c>
      <c r="E4" s="1" t="s">
        <v>30</v>
      </c>
      <c r="F4" s="2">
        <v>45938.0</v>
      </c>
      <c r="G4" s="2">
        <v>45940.0</v>
      </c>
      <c r="H4" s="2">
        <v>45938.0</v>
      </c>
      <c r="I4" s="2">
        <v>45942.0</v>
      </c>
      <c r="J4" s="1">
        <v>6.0</v>
      </c>
      <c r="K4" s="1">
        <v>8.0</v>
      </c>
      <c r="L4" s="1" t="s">
        <v>27</v>
      </c>
    </row>
    <row r="5">
      <c r="A5" s="1" t="s">
        <v>31</v>
      </c>
      <c r="B5" s="1" t="s">
        <v>24</v>
      </c>
      <c r="C5" s="1">
        <v>4.0</v>
      </c>
      <c r="D5" s="1" t="s">
        <v>25</v>
      </c>
      <c r="E5" s="1" t="s">
        <v>32</v>
      </c>
      <c r="F5" s="2">
        <v>45938.0</v>
      </c>
      <c r="G5" s="2">
        <v>45940.0</v>
      </c>
      <c r="H5" s="2">
        <v>45938.0</v>
      </c>
      <c r="I5" s="2">
        <v>45945.0</v>
      </c>
      <c r="J5" s="1">
        <v>4.0</v>
      </c>
      <c r="K5" s="1">
        <v>3.0</v>
      </c>
      <c r="L5" s="1" t="s">
        <v>27</v>
      </c>
    </row>
    <row r="6">
      <c r="A6" s="1" t="s">
        <v>33</v>
      </c>
      <c r="B6" s="1" t="s">
        <v>29</v>
      </c>
      <c r="C6" s="1">
        <v>6.0</v>
      </c>
      <c r="D6" s="1" t="s">
        <v>25</v>
      </c>
      <c r="E6" s="1" t="s">
        <v>34</v>
      </c>
      <c r="F6" s="2">
        <v>45938.0</v>
      </c>
      <c r="G6" s="2">
        <v>45940.0</v>
      </c>
      <c r="H6" s="2">
        <v>45938.0</v>
      </c>
      <c r="I6" s="2">
        <v>45945.0</v>
      </c>
      <c r="J6" s="1">
        <v>6.0</v>
      </c>
      <c r="K6" s="1">
        <v>7.0</v>
      </c>
      <c r="L6" s="1" t="s">
        <v>27</v>
      </c>
    </row>
    <row r="7">
      <c r="A7" s="1" t="s">
        <v>35</v>
      </c>
      <c r="B7" s="1" t="s">
        <v>24</v>
      </c>
      <c r="C7" s="1">
        <v>4.0</v>
      </c>
      <c r="D7" s="1" t="s">
        <v>25</v>
      </c>
      <c r="E7" s="1" t="s">
        <v>36</v>
      </c>
      <c r="F7" s="2">
        <v>45939.0</v>
      </c>
      <c r="G7" s="2">
        <v>45941.0</v>
      </c>
      <c r="H7" s="2">
        <v>45939.0</v>
      </c>
      <c r="I7" s="2">
        <v>45945.0</v>
      </c>
      <c r="J7" s="1">
        <v>4.0</v>
      </c>
      <c r="K7" s="1">
        <v>4.0</v>
      </c>
      <c r="L7" s="1" t="s">
        <v>27</v>
      </c>
    </row>
    <row r="8">
      <c r="A8" s="1" t="s">
        <v>37</v>
      </c>
      <c r="B8" s="1" t="s">
        <v>29</v>
      </c>
      <c r="C8" s="1">
        <v>6.0</v>
      </c>
      <c r="D8" s="1" t="s">
        <v>25</v>
      </c>
      <c r="E8" s="1" t="s">
        <v>38</v>
      </c>
      <c r="F8" s="2">
        <v>45939.0</v>
      </c>
      <c r="G8" s="2">
        <v>45941.0</v>
      </c>
      <c r="H8" s="2">
        <v>45939.0</v>
      </c>
      <c r="I8" s="2">
        <v>45946.0</v>
      </c>
      <c r="J8" s="1">
        <v>6.0</v>
      </c>
      <c r="K8" s="1">
        <v>7.0</v>
      </c>
      <c r="L8" s="1" t="s">
        <v>27</v>
      </c>
    </row>
    <row r="9">
      <c r="A9" s="1" t="s">
        <v>39</v>
      </c>
      <c r="B9" s="1" t="s">
        <v>24</v>
      </c>
      <c r="C9" s="1">
        <v>8.0</v>
      </c>
      <c r="D9" s="1" t="s">
        <v>25</v>
      </c>
      <c r="E9" s="1" t="s">
        <v>40</v>
      </c>
      <c r="F9" s="2">
        <v>45940.0</v>
      </c>
      <c r="G9" s="2">
        <v>45942.0</v>
      </c>
      <c r="H9" s="2">
        <v>45940.0</v>
      </c>
      <c r="I9" s="2">
        <v>45946.0</v>
      </c>
      <c r="J9" s="1">
        <v>8.0</v>
      </c>
      <c r="K9" s="1">
        <v>4.0</v>
      </c>
      <c r="L9" s="1" t="s">
        <v>27</v>
      </c>
    </row>
    <row r="10">
      <c r="A10" s="1" t="s">
        <v>41</v>
      </c>
      <c r="B10" s="1" t="s">
        <v>29</v>
      </c>
      <c r="C10" s="1">
        <v>10.0</v>
      </c>
      <c r="D10" s="1" t="s">
        <v>25</v>
      </c>
      <c r="E10" s="1" t="s">
        <v>42</v>
      </c>
      <c r="F10" s="2">
        <v>45940.0</v>
      </c>
      <c r="G10" s="2">
        <v>45942.0</v>
      </c>
      <c r="H10" s="2">
        <v>45940.0</v>
      </c>
      <c r="I10" s="2">
        <v>45946.0</v>
      </c>
      <c r="J10" s="1">
        <v>10.0</v>
      </c>
      <c r="K10" s="1">
        <v>6.0</v>
      </c>
      <c r="L10" s="1" t="s">
        <v>27</v>
      </c>
    </row>
    <row r="11">
      <c r="A11" s="1" t="s">
        <v>43</v>
      </c>
      <c r="B11" s="1" t="s">
        <v>24</v>
      </c>
      <c r="C11" s="1">
        <v>5.0</v>
      </c>
      <c r="D11" s="1" t="s">
        <v>25</v>
      </c>
      <c r="E11" s="1" t="s">
        <v>44</v>
      </c>
      <c r="F11" s="2">
        <v>45942.0</v>
      </c>
      <c r="G11" s="2">
        <v>45942.0</v>
      </c>
      <c r="H11" s="2">
        <v>45942.0</v>
      </c>
      <c r="I11" s="2">
        <v>45946.0</v>
      </c>
      <c r="J11" s="1">
        <v>5.0</v>
      </c>
      <c r="K11" s="1">
        <v>7.0</v>
      </c>
      <c r="L11" s="1" t="s">
        <v>27</v>
      </c>
    </row>
    <row r="12">
      <c r="A12" s="1" t="s">
        <v>45</v>
      </c>
      <c r="B12" s="1" t="s">
        <v>46</v>
      </c>
      <c r="C12" s="1">
        <v>10.0</v>
      </c>
      <c r="D12" s="1" t="s">
        <v>25</v>
      </c>
      <c r="E12" s="1" t="s">
        <v>47</v>
      </c>
      <c r="F12" s="2">
        <v>45938.0</v>
      </c>
      <c r="G12" s="2">
        <v>45953.0</v>
      </c>
      <c r="H12" s="2">
        <v>45938.0</v>
      </c>
      <c r="I12" s="2">
        <v>45958.0</v>
      </c>
      <c r="J12" s="1">
        <v>10.0</v>
      </c>
      <c r="K12" s="1">
        <v>14.0</v>
      </c>
      <c r="L12" s="1" t="s">
        <v>27</v>
      </c>
    </row>
    <row r="13">
      <c r="A13" s="1" t="s">
        <v>48</v>
      </c>
      <c r="B13" s="1" t="s">
        <v>49</v>
      </c>
      <c r="C13" s="1">
        <v>5.0</v>
      </c>
      <c r="D13" s="1" t="s">
        <v>25</v>
      </c>
      <c r="E13" s="1" t="s">
        <v>47</v>
      </c>
      <c r="F13" s="2">
        <v>45940.0</v>
      </c>
      <c r="G13" s="2">
        <v>45945.0</v>
      </c>
      <c r="H13" s="2">
        <v>45940.0</v>
      </c>
      <c r="I13" s="2">
        <v>45947.0</v>
      </c>
      <c r="J13" s="1">
        <v>4.0</v>
      </c>
      <c r="K13" s="1">
        <v>5.0</v>
      </c>
      <c r="L13" s="1" t="s">
        <v>27</v>
      </c>
    </row>
    <row r="14">
      <c r="A14" s="1" t="s">
        <v>50</v>
      </c>
      <c r="B14" s="1" t="s">
        <v>51</v>
      </c>
      <c r="C14" s="1">
        <v>6.0</v>
      </c>
      <c r="D14" s="1" t="s">
        <v>25</v>
      </c>
      <c r="E14" s="1" t="s">
        <v>47</v>
      </c>
      <c r="F14" s="2">
        <v>45940.0</v>
      </c>
      <c r="G14" s="2">
        <v>45945.0</v>
      </c>
      <c r="H14" s="2">
        <v>45940.0</v>
      </c>
      <c r="I14" s="2">
        <v>45947.0</v>
      </c>
      <c r="J14" s="1">
        <v>3.0</v>
      </c>
      <c r="K14" s="1">
        <v>6.0</v>
      </c>
      <c r="L14" s="1" t="s">
        <v>27</v>
      </c>
    </row>
    <row r="15">
      <c r="A15" s="1" t="s">
        <v>52</v>
      </c>
      <c r="B15" s="1" t="s">
        <v>49</v>
      </c>
      <c r="C15" s="1">
        <v>5.0</v>
      </c>
      <c r="D15" s="1" t="s">
        <v>25</v>
      </c>
      <c r="E15" s="1" t="s">
        <v>47</v>
      </c>
      <c r="F15" s="2">
        <v>45941.0</v>
      </c>
      <c r="G15" s="2">
        <v>45945.0</v>
      </c>
      <c r="H15" s="2">
        <v>45941.0</v>
      </c>
      <c r="I15" s="2">
        <v>45947.0</v>
      </c>
      <c r="J15" s="1">
        <v>4.0</v>
      </c>
      <c r="K15" s="1">
        <v>5.0</v>
      </c>
      <c r="L15" s="1" t="s">
        <v>27</v>
      </c>
    </row>
    <row r="16">
      <c r="A16" s="1" t="s">
        <v>53</v>
      </c>
      <c r="B16" s="1" t="s">
        <v>46</v>
      </c>
      <c r="C16" s="1">
        <v>3.0</v>
      </c>
      <c r="D16" s="1" t="s">
        <v>25</v>
      </c>
      <c r="E16" s="1" t="s">
        <v>47</v>
      </c>
      <c r="F16" s="2">
        <v>45941.0</v>
      </c>
      <c r="G16" s="2">
        <v>45945.0</v>
      </c>
      <c r="H16" s="2">
        <v>45941.0</v>
      </c>
      <c r="I16" s="2">
        <v>45950.0</v>
      </c>
      <c r="J16" s="1">
        <v>2.0</v>
      </c>
      <c r="K16" s="1">
        <v>3.0</v>
      </c>
      <c r="L16" s="1" t="s">
        <v>27</v>
      </c>
    </row>
    <row r="17">
      <c r="A17" s="1" t="s">
        <v>54</v>
      </c>
      <c r="B17" s="1" t="s">
        <v>55</v>
      </c>
      <c r="C17" s="1">
        <v>8.0</v>
      </c>
      <c r="D17" s="1" t="s">
        <v>25</v>
      </c>
      <c r="E17" s="1" t="s">
        <v>47</v>
      </c>
      <c r="F17" s="2">
        <v>45941.0</v>
      </c>
      <c r="G17" s="2">
        <v>45946.0</v>
      </c>
      <c r="H17" s="2">
        <v>45941.0</v>
      </c>
      <c r="I17" s="2">
        <v>45950.0</v>
      </c>
      <c r="J17" s="1">
        <v>6.0</v>
      </c>
      <c r="K17" s="1">
        <v>6.0</v>
      </c>
      <c r="L17" s="1" t="s">
        <v>27</v>
      </c>
    </row>
    <row r="18">
      <c r="A18" s="1" t="s">
        <v>56</v>
      </c>
      <c r="B18" s="1" t="s">
        <v>55</v>
      </c>
      <c r="C18" s="1">
        <v>7.0</v>
      </c>
      <c r="D18" s="1" t="s">
        <v>25</v>
      </c>
      <c r="E18" s="1" t="s">
        <v>47</v>
      </c>
      <c r="F18" s="2">
        <v>45942.0</v>
      </c>
      <c r="G18" s="2">
        <v>45946.0</v>
      </c>
      <c r="H18" s="2">
        <v>45942.0</v>
      </c>
      <c r="I18" s="2">
        <v>45950.0</v>
      </c>
      <c r="J18" s="1">
        <v>5.0</v>
      </c>
      <c r="K18" s="1">
        <v>5.0</v>
      </c>
      <c r="L18" s="1" t="s">
        <v>27</v>
      </c>
    </row>
    <row r="19">
      <c r="A19" s="1" t="s">
        <v>57</v>
      </c>
      <c r="B19" s="1" t="s">
        <v>55</v>
      </c>
      <c r="C19" s="1">
        <v>7.0</v>
      </c>
      <c r="D19" s="1" t="s">
        <v>25</v>
      </c>
      <c r="E19" s="1" t="s">
        <v>47</v>
      </c>
      <c r="F19" s="2">
        <v>45942.0</v>
      </c>
      <c r="G19" s="2">
        <v>45946.0</v>
      </c>
      <c r="H19" s="2">
        <v>45942.0</v>
      </c>
      <c r="I19" s="2">
        <v>45952.0</v>
      </c>
      <c r="J19" s="1">
        <v>4.0</v>
      </c>
      <c r="K19" s="1">
        <v>5.0</v>
      </c>
      <c r="L19" s="1" t="s">
        <v>27</v>
      </c>
    </row>
    <row r="20">
      <c r="A20" s="1" t="s">
        <v>58</v>
      </c>
      <c r="B20" s="1" t="s">
        <v>51</v>
      </c>
      <c r="C20" s="1">
        <v>3.0</v>
      </c>
      <c r="D20" s="1" t="s">
        <v>25</v>
      </c>
      <c r="E20" s="1" t="s">
        <v>47</v>
      </c>
      <c r="F20" s="2">
        <v>45942.0</v>
      </c>
      <c r="G20" s="2">
        <v>45953.0</v>
      </c>
      <c r="H20" s="2">
        <v>45942.0</v>
      </c>
      <c r="I20" s="2">
        <v>45958.0</v>
      </c>
      <c r="J20" s="1">
        <v>2.0</v>
      </c>
      <c r="K20" s="1">
        <v>1.0</v>
      </c>
      <c r="L20" s="1" t="s">
        <v>27</v>
      </c>
    </row>
    <row r="21" ht="15.75" customHeight="1">
      <c r="A21" s="1" t="s">
        <v>59</v>
      </c>
      <c r="B21" s="1" t="s">
        <v>46</v>
      </c>
      <c r="C21" s="1">
        <v>10.0</v>
      </c>
      <c r="D21" s="1" t="s">
        <v>25</v>
      </c>
      <c r="E21" s="1" t="s">
        <v>47</v>
      </c>
      <c r="F21" s="2">
        <v>45939.0</v>
      </c>
      <c r="G21" s="2">
        <v>45952.0</v>
      </c>
      <c r="H21" s="2">
        <v>45939.0</v>
      </c>
      <c r="I21" s="2">
        <v>45956.0</v>
      </c>
      <c r="J21" s="1">
        <v>10.0</v>
      </c>
      <c r="K21" s="1">
        <v>10.0</v>
      </c>
      <c r="L21" s="1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88"/>
    <col customWidth="1" min="3" max="26" width="10.63"/>
  </cols>
  <sheetData>
    <row r="1">
      <c r="B1" s="3" t="s">
        <v>20</v>
      </c>
      <c r="C1" s="3" t="s">
        <v>60</v>
      </c>
    </row>
    <row r="2">
      <c r="A2" s="3" t="s">
        <v>61</v>
      </c>
      <c r="B2" s="3">
        <v>8.0</v>
      </c>
      <c r="C2" s="3">
        <v>10.0</v>
      </c>
    </row>
    <row r="3">
      <c r="A3" s="3" t="s">
        <v>62</v>
      </c>
      <c r="B3" s="3">
        <v>6.0</v>
      </c>
      <c r="C3" s="3">
        <v>8.0</v>
      </c>
    </row>
    <row r="4">
      <c r="A4" s="3" t="s">
        <v>63</v>
      </c>
      <c r="B4" s="3">
        <v>4.0</v>
      </c>
      <c r="C4" s="3">
        <v>3.0</v>
      </c>
    </row>
    <row r="5">
      <c r="A5" s="3" t="s">
        <v>64</v>
      </c>
      <c r="B5" s="3">
        <v>6.0</v>
      </c>
      <c r="C5" s="3">
        <v>7.0</v>
      </c>
    </row>
    <row r="6">
      <c r="A6" s="3" t="s">
        <v>65</v>
      </c>
      <c r="B6" s="3">
        <v>4.0</v>
      </c>
      <c r="C6" s="3">
        <v>4.0</v>
      </c>
    </row>
    <row r="7">
      <c r="A7" s="3" t="s">
        <v>66</v>
      </c>
      <c r="B7" s="3">
        <v>6.0</v>
      </c>
      <c r="C7" s="3">
        <v>7.0</v>
      </c>
    </row>
    <row r="8">
      <c r="A8" s="3" t="s">
        <v>67</v>
      </c>
      <c r="B8" s="3">
        <v>8.0</v>
      </c>
      <c r="C8" s="3">
        <v>4.0</v>
      </c>
    </row>
    <row r="9">
      <c r="A9" s="3" t="s">
        <v>68</v>
      </c>
      <c r="B9" s="3">
        <v>10.0</v>
      </c>
      <c r="C9" s="3">
        <v>6.0</v>
      </c>
    </row>
    <row r="10">
      <c r="A10" s="3" t="s">
        <v>69</v>
      </c>
      <c r="B10" s="3">
        <v>5.0</v>
      </c>
      <c r="C10" s="3">
        <v>7.0</v>
      </c>
    </row>
    <row r="11">
      <c r="A11" s="3" t="s">
        <v>70</v>
      </c>
      <c r="B11" s="3">
        <v>10.0</v>
      </c>
      <c r="C11" s="3">
        <v>14.0</v>
      </c>
    </row>
    <row r="12">
      <c r="A12" s="3" t="s">
        <v>70</v>
      </c>
      <c r="B12" s="3">
        <v>5.0</v>
      </c>
      <c r="C12" s="3">
        <v>5.0</v>
      </c>
    </row>
    <row r="13">
      <c r="A13" s="3" t="s">
        <v>70</v>
      </c>
      <c r="B13" s="3">
        <v>6.0</v>
      </c>
      <c r="C13" s="3">
        <v>6.0</v>
      </c>
    </row>
    <row r="14">
      <c r="A14" s="3" t="s">
        <v>70</v>
      </c>
      <c r="B14" s="3">
        <v>5.0</v>
      </c>
      <c r="C14" s="3">
        <v>5.0</v>
      </c>
    </row>
    <row r="15">
      <c r="A15" s="3" t="s">
        <v>70</v>
      </c>
      <c r="B15" s="3">
        <v>3.0</v>
      </c>
      <c r="C15" s="3">
        <v>3.0</v>
      </c>
    </row>
    <row r="16">
      <c r="A16" s="3" t="s">
        <v>70</v>
      </c>
      <c r="B16" s="3">
        <v>8.0</v>
      </c>
      <c r="C16" s="3">
        <v>6.0</v>
      </c>
    </row>
    <row r="17">
      <c r="A17" s="3" t="s">
        <v>70</v>
      </c>
      <c r="B17" s="3">
        <v>7.0</v>
      </c>
      <c r="C17" s="3">
        <v>5.0</v>
      </c>
    </row>
    <row r="18">
      <c r="A18" s="3" t="s">
        <v>70</v>
      </c>
      <c r="B18" s="3">
        <v>7.0</v>
      </c>
      <c r="C18" s="3">
        <v>5.0</v>
      </c>
    </row>
    <row r="19">
      <c r="A19" s="3" t="s">
        <v>70</v>
      </c>
      <c r="B19" s="3">
        <v>3.0</v>
      </c>
      <c r="C19" s="3">
        <v>1.0</v>
      </c>
    </row>
    <row r="20">
      <c r="A20" s="3" t="s">
        <v>70</v>
      </c>
      <c r="B20" s="3">
        <v>10.0</v>
      </c>
      <c r="C20" s="3">
        <v>10.0</v>
      </c>
    </row>
    <row r="21" ht="15.75" customHeight="1"/>
    <row r="22" ht="15.75" customHeight="1">
      <c r="A22" s="3" t="s">
        <v>71</v>
      </c>
      <c r="B22" s="3">
        <f t="shared" ref="B22:C22" si="1">SUM(B2:B20)</f>
        <v>121</v>
      </c>
      <c r="C22" s="3">
        <f t="shared" si="1"/>
        <v>116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9.88"/>
    <col customWidth="1" min="3" max="3" width="13.25"/>
    <col customWidth="1" min="4" max="4" width="14.88"/>
    <col customWidth="1" min="5" max="5" width="15.25"/>
    <col customWidth="1" min="6" max="6" width="12.75"/>
    <col customWidth="1" min="7" max="26" width="10.63"/>
  </cols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</row>
    <row r="2">
      <c r="A2" s="3">
        <v>1.0</v>
      </c>
      <c r="B2" s="3">
        <v>121.0</v>
      </c>
      <c r="C2" s="3">
        <v>3.0</v>
      </c>
      <c r="D2" s="3">
        <f t="shared" ref="D2:D17" si="1"> $B$2 - C2</f>
        <v>118</v>
      </c>
      <c r="E2" s="3">
        <f t="shared" ref="E2:E17" si="2">$B$2 - ($B$2/16)*(A2-1)</f>
        <v>121</v>
      </c>
      <c r="F2" s="3">
        <f t="shared" ref="F2:F17" si="3">($B$2/16)*(A2-1)</f>
        <v>0</v>
      </c>
    </row>
    <row r="3">
      <c r="A3" s="3">
        <v>2.0</v>
      </c>
      <c r="B3" s="3">
        <v>121.0</v>
      </c>
      <c r="C3" s="3">
        <v>6.0</v>
      </c>
      <c r="D3" s="3">
        <f t="shared" si="1"/>
        <v>115</v>
      </c>
      <c r="E3" s="3">
        <f t="shared" si="2"/>
        <v>113.4375</v>
      </c>
      <c r="F3" s="3">
        <f t="shared" si="3"/>
        <v>7.5625</v>
      </c>
    </row>
    <row r="4">
      <c r="A4" s="3">
        <v>3.0</v>
      </c>
      <c r="B4" s="3">
        <v>121.0</v>
      </c>
      <c r="C4" s="3">
        <v>8.0</v>
      </c>
      <c r="D4" s="3">
        <f t="shared" si="1"/>
        <v>113</v>
      </c>
      <c r="E4" s="3">
        <f t="shared" si="2"/>
        <v>105.875</v>
      </c>
      <c r="F4" s="3">
        <f t="shared" si="3"/>
        <v>15.125</v>
      </c>
    </row>
    <row r="5">
      <c r="A5" s="3">
        <v>4.0</v>
      </c>
      <c r="B5" s="3">
        <v>121.0</v>
      </c>
      <c r="C5" s="3">
        <v>12.0</v>
      </c>
      <c r="D5" s="3">
        <f t="shared" si="1"/>
        <v>109</v>
      </c>
      <c r="E5" s="3">
        <f t="shared" si="2"/>
        <v>98.3125</v>
      </c>
      <c r="F5" s="3">
        <f t="shared" si="3"/>
        <v>22.6875</v>
      </c>
    </row>
    <row r="6">
      <c r="A6" s="3">
        <v>5.0</v>
      </c>
      <c r="B6" s="3">
        <v>121.0</v>
      </c>
      <c r="C6" s="3">
        <v>18.0</v>
      </c>
      <c r="D6" s="3">
        <f t="shared" si="1"/>
        <v>103</v>
      </c>
      <c r="E6" s="3">
        <f t="shared" si="2"/>
        <v>90.75</v>
      </c>
      <c r="F6" s="3">
        <f t="shared" si="3"/>
        <v>30.25</v>
      </c>
    </row>
    <row r="7">
      <c r="A7" s="3">
        <v>6.0</v>
      </c>
      <c r="B7" s="3">
        <v>121.0</v>
      </c>
      <c r="C7" s="3">
        <v>22.0</v>
      </c>
      <c r="D7" s="3">
        <f t="shared" si="1"/>
        <v>99</v>
      </c>
      <c r="E7" s="3">
        <f t="shared" si="2"/>
        <v>83.1875</v>
      </c>
      <c r="F7" s="3">
        <f t="shared" si="3"/>
        <v>37.8125</v>
      </c>
    </row>
    <row r="8">
      <c r="A8" s="3">
        <v>7.0</v>
      </c>
      <c r="B8" s="3">
        <v>121.0</v>
      </c>
      <c r="C8" s="3">
        <v>26.0</v>
      </c>
      <c r="D8" s="3">
        <f t="shared" si="1"/>
        <v>95</v>
      </c>
      <c r="E8" s="3">
        <f t="shared" si="2"/>
        <v>75.625</v>
      </c>
      <c r="F8" s="3">
        <f t="shared" si="3"/>
        <v>45.375</v>
      </c>
    </row>
    <row r="9">
      <c r="A9" s="3">
        <v>8.0</v>
      </c>
      <c r="B9" s="3">
        <v>121.0</v>
      </c>
      <c r="C9" s="3">
        <v>30.0</v>
      </c>
      <c r="D9" s="3">
        <f t="shared" si="1"/>
        <v>91</v>
      </c>
      <c r="E9" s="3">
        <f t="shared" si="2"/>
        <v>68.0625</v>
      </c>
      <c r="F9" s="3">
        <f t="shared" si="3"/>
        <v>52.9375</v>
      </c>
    </row>
    <row r="10">
      <c r="A10" s="3">
        <v>9.0</v>
      </c>
      <c r="B10" s="3">
        <v>121.0</v>
      </c>
      <c r="C10" s="3">
        <v>38.0</v>
      </c>
      <c r="D10" s="3">
        <f t="shared" si="1"/>
        <v>83</v>
      </c>
      <c r="E10" s="3">
        <f t="shared" si="2"/>
        <v>60.5</v>
      </c>
      <c r="F10" s="3">
        <f t="shared" si="3"/>
        <v>60.5</v>
      </c>
    </row>
    <row r="11">
      <c r="A11" s="3">
        <v>10.0</v>
      </c>
      <c r="B11" s="3">
        <v>121.0</v>
      </c>
      <c r="C11" s="3">
        <v>56.0</v>
      </c>
      <c r="D11" s="3">
        <f t="shared" si="1"/>
        <v>65</v>
      </c>
      <c r="E11" s="3">
        <f t="shared" si="2"/>
        <v>52.9375</v>
      </c>
      <c r="F11" s="3">
        <f t="shared" si="3"/>
        <v>68.0625</v>
      </c>
    </row>
    <row r="12">
      <c r="A12" s="3">
        <v>11.0</v>
      </c>
      <c r="B12" s="3">
        <v>121.0</v>
      </c>
      <c r="C12" s="3">
        <v>69.0</v>
      </c>
      <c r="D12" s="3">
        <f t="shared" si="1"/>
        <v>52</v>
      </c>
      <c r="E12" s="3">
        <f t="shared" si="2"/>
        <v>45.375</v>
      </c>
      <c r="F12" s="3">
        <f t="shared" si="3"/>
        <v>75.625</v>
      </c>
    </row>
    <row r="13">
      <c r="A13" s="3">
        <v>12.0</v>
      </c>
      <c r="B13" s="3">
        <v>121.0</v>
      </c>
      <c r="C13" s="3">
        <v>77.0</v>
      </c>
      <c r="D13" s="3">
        <f t="shared" si="1"/>
        <v>44</v>
      </c>
      <c r="E13" s="3">
        <f t="shared" si="2"/>
        <v>37.8125</v>
      </c>
      <c r="F13" s="3">
        <f t="shared" si="3"/>
        <v>83.1875</v>
      </c>
    </row>
    <row r="14">
      <c r="A14" s="3">
        <v>13.0</v>
      </c>
      <c r="B14" s="3">
        <v>121.0</v>
      </c>
      <c r="C14" s="3">
        <v>92.0</v>
      </c>
      <c r="D14" s="3">
        <f t="shared" si="1"/>
        <v>29</v>
      </c>
      <c r="E14" s="3">
        <f t="shared" si="2"/>
        <v>30.25</v>
      </c>
      <c r="F14" s="3">
        <f t="shared" si="3"/>
        <v>90.75</v>
      </c>
    </row>
    <row r="15">
      <c r="A15" s="3">
        <v>14.0</v>
      </c>
      <c r="B15" s="3">
        <v>121.0</v>
      </c>
      <c r="C15" s="3">
        <v>100.0</v>
      </c>
      <c r="D15" s="3">
        <f t="shared" si="1"/>
        <v>21</v>
      </c>
      <c r="E15" s="3">
        <f t="shared" si="2"/>
        <v>22.6875</v>
      </c>
      <c r="F15" s="3">
        <f t="shared" si="3"/>
        <v>98.3125</v>
      </c>
    </row>
    <row r="16">
      <c r="A16" s="3">
        <v>15.0</v>
      </c>
      <c r="B16" s="3">
        <v>121.0</v>
      </c>
      <c r="C16" s="3">
        <v>116.0</v>
      </c>
      <c r="D16" s="3">
        <f t="shared" si="1"/>
        <v>5</v>
      </c>
      <c r="E16" s="3">
        <f t="shared" si="2"/>
        <v>15.125</v>
      </c>
      <c r="F16" s="3">
        <f t="shared" si="3"/>
        <v>105.875</v>
      </c>
    </row>
    <row r="17">
      <c r="A17" s="3">
        <v>16.0</v>
      </c>
      <c r="B17" s="3">
        <v>121.0</v>
      </c>
      <c r="C17" s="3">
        <v>121.0</v>
      </c>
      <c r="D17" s="3">
        <f t="shared" si="1"/>
        <v>0</v>
      </c>
      <c r="E17" s="3">
        <f t="shared" si="2"/>
        <v>7.5625</v>
      </c>
      <c r="F17" s="3">
        <f t="shared" si="3"/>
        <v>113.4375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2025-10-29T02:25:12Z</dcterms:created>
  <dc:creator>VALDOVINOS BRAVO SEBASTIÁN I</dc:creator>
</cp:coreProperties>
</file>